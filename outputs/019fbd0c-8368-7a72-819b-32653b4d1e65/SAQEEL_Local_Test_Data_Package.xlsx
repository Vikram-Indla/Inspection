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88ab3ac1aa4f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 &amp; Controls" sheetId="1" r:id="R8fa8a3ac3285438d"/>
    <x:sheet xmlns:r="http://schemas.openxmlformats.org/officeDocument/2006/relationships" name="Accounts" sheetId="2" r:id="R5246df52e6ff4be4"/>
    <x:sheet xmlns:r="http://schemas.openxmlformats.org/officeDocument/2006/relationships" name="Profiles" sheetId="3" r:id="R7ec6a1ee4fb54812"/>
    <x:sheet xmlns:r="http://schemas.openxmlformats.org/officeDocument/2006/relationships" name="Establishments" sheetId="4" r:id="Rdceaaef091b84457"/>
    <x:sheet xmlns:r="http://schemas.openxmlformats.org/officeDocument/2006/relationships" name="Licences" sheetId="5" r:id="R6bc1c92f695f487b"/>
    <x:sheet xmlns:r="http://schemas.openxmlformats.org/officeDocument/2006/relationships" name="Packages Templates" sheetId="6" r:id="Rd932fc6d78af424d"/>
    <x:sheet xmlns:r="http://schemas.openxmlformats.org/officeDocument/2006/relationships" name="Plans" sheetId="7" r:id="Rf0e00b99a0a94106"/>
    <x:sheet xmlns:r="http://schemas.openxmlformats.org/officeDocument/2006/relationships" name="Bulk Plans" sheetId="8" r:id="Rce630709a2da4d91"/>
    <x:sheet xmlns:r="http://schemas.openxmlformats.org/officeDocument/2006/relationships" name="Visits" sheetId="9" r:id="R45359f8400c84967"/>
    <x:sheet xmlns:r="http://schemas.openxmlformats.org/officeDocument/2006/relationships" name="Assignments" sheetId="10" r:id="R9175ca2386cc47f4"/>
    <x:sheet xmlns:r="http://schemas.openxmlformats.org/officeDocument/2006/relationships" name="Inspection Data" sheetId="11" r:id="Rc5f4980a9db54d10"/>
    <x:sheet xmlns:r="http://schemas.openxmlformats.org/officeDocument/2006/relationships" name="Findings Reports Evidence" sheetId="12" r:id="R7210dafe46e04c81"/>
    <x:sheet xmlns:r="http://schemas.openxmlformats.org/officeDocument/2006/relationships" name="Relationship Matrix" sheetId="13" r:id="Rffbd0d91519c4ad9"/>
    <x:sheet xmlns:r="http://schemas.openxmlformats.org/officeDocument/2006/relationships" name="Data Dictionary" sheetId="14" r:id="R47a2d3be195740bf"/>
    <x:sheet xmlns:r="http://schemas.openxmlformats.org/officeDocument/2006/relationships" name="Import Order" sheetId="15" r:id="R8f13f212263f4231"/>
    <x:sheet xmlns:r="http://schemas.openxmlformats.org/officeDocument/2006/relationships" name="Validation Reconciliation" sheetId="16" r:id="R66128a4c72814bc3"/>
    <x:sheet xmlns:r="http://schemas.openxmlformats.org/officeDocument/2006/relationships" name="Import Summary" sheetId="17" r:id="Rb97d049043ed41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3746"/>
      <x:name val="Carlito"/>
    </x:font>
    <x:font>
      <x:b/>
      <x:sz val="11"/>
      <x:color rgb="FFFFFFFF"/>
      <x:name val="Carlito"/>
    </x:font>
    <x:font>
      <x:sz val="11"/>
      <x:color rgb="FF243746"/>
      <x:name val="Carlito"/>
    </x:font>
    <x:font>
      <x:b/>
      <x:sz val="16"/>
      <x:color rgb="FF243746"/>
      <x:name val="Aptos"/>
    </x:font>
    <x:font>
      <x:i/>
      <x:sz val="11"/>
      <x:color rgb="FF243746"/>
      <x:name val="Aptos"/>
    </x:font>
    <x:font>
      <x:b/>
      <x:sz val="11"/>
      <x:color rgb="FF243746"/>
      <x:name val="Aptos"/>
    </x:font>
    <x:font>
      <x:sz val="11"/>
      <x:color rgb="FF243746"/>
      <x:name val="Aptos"/>
    </x:font>
    <x:font>
      <x:b/>
      <x:sz val="16"/>
      <x:color rgb="FFFFFFFF"/>
      <x:name val="Aptos Display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5"/>
      </x:patternFill>
    </x:fill>
    <x:fill>
      <x:patternFill patternType="solid">
        <x:fgColor rgb="FF087E8B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20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1B5E20"/>
      </x:font>
      <x:fill>
        <x:patternFill patternType="solid">
          <x:bgColor rgb="FFE8F3E8"/>
        </x:patternFill>
      </x:fill>
    </x:dxf>
    <x:dxf>
      <x:font>
        <x:b/>
        <x:color rgb="FFA51D2D"/>
      </x:font>
      <x:fill>
        <x:patternFill patternType="solid">
          <x:bgColor rgb="FFFDECEC"/>
        </x:patternFill>
      </x:fill>
    </x:dxf>
    <x:dxf>
      <x:font>
        <x:b/>
        <x:color rgb="FF1B5E20"/>
      </x:font>
      <x:fill>
        <x:patternFill patternType="solid">
          <x:bgColor rgb="FFE8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df0d5c56041f6" /><Relationship Type="http://schemas.openxmlformats.org/officeDocument/2006/relationships/theme" Target="/xl/theme/theme1.xml" Id="Race3f7c1ef8e48fb" /><Relationship Type="http://schemas.microsoft.com/office/2022/11/relationships/FeaturePropertyBag" Target="/xl/featurePropertyBag/featurePropertyBag.xml" Id="R285c623839e24636" /><Relationship Type="http://schemas.openxmlformats.org/officeDocument/2006/relationships/sharedStrings" Target="/xl/sharedStrings.xml" Id="Rf657a4e41897470f" /><Relationship Type="http://schemas.openxmlformats.org/officeDocument/2006/relationships/worksheet" Target="/xl/worksheets/sheet1.xml" Id="R8fa8a3ac3285438d" /><Relationship Type="http://schemas.openxmlformats.org/officeDocument/2006/relationships/worksheet" Target="/xl/worksheets/sheet2.xml" Id="R5246df52e6ff4be4" /><Relationship Type="http://schemas.openxmlformats.org/officeDocument/2006/relationships/worksheet" Target="/xl/worksheets/sheet3.xml" Id="R7ec6a1ee4fb54812" /><Relationship Type="http://schemas.openxmlformats.org/officeDocument/2006/relationships/worksheet" Target="/xl/worksheets/sheet4.xml" Id="Rdceaaef091b84457" /><Relationship Type="http://schemas.openxmlformats.org/officeDocument/2006/relationships/worksheet" Target="/xl/worksheets/sheet5.xml" Id="R6bc1c92f695f487b" /><Relationship Type="http://schemas.openxmlformats.org/officeDocument/2006/relationships/worksheet" Target="/xl/worksheets/sheet6.xml" Id="Rd932fc6d78af424d" /><Relationship Type="http://schemas.openxmlformats.org/officeDocument/2006/relationships/worksheet" Target="/xl/worksheets/sheet7.xml" Id="Rf0e00b99a0a94106" /><Relationship Type="http://schemas.openxmlformats.org/officeDocument/2006/relationships/worksheet" Target="/xl/worksheets/sheet8.xml" Id="Rce630709a2da4d91" /><Relationship Type="http://schemas.openxmlformats.org/officeDocument/2006/relationships/worksheet" Target="/xl/worksheets/sheet9.xml" Id="R45359f8400c84967" /><Relationship Type="http://schemas.openxmlformats.org/officeDocument/2006/relationships/worksheet" Target="/xl/worksheets/sheet10.xml" Id="R9175ca2386cc47f4" /><Relationship Type="http://schemas.openxmlformats.org/officeDocument/2006/relationships/worksheet" Target="/xl/worksheets/sheet11.xml" Id="Rc5f4980a9db54d10" /><Relationship Type="http://schemas.openxmlformats.org/officeDocument/2006/relationships/worksheet" Target="/xl/worksheets/sheet12.xml" Id="R7210dafe46e04c81" /><Relationship Type="http://schemas.openxmlformats.org/officeDocument/2006/relationships/worksheet" Target="/xl/worksheets/sheet13.xml" Id="Rffbd0d91519c4ad9" /><Relationship Type="http://schemas.openxmlformats.org/officeDocument/2006/relationships/worksheet" Target="/xl/worksheets/sheet14.xml" Id="R47a2d3be195740bf" /><Relationship Type="http://schemas.openxmlformats.org/officeDocument/2006/relationships/worksheet" Target="/xl/worksheets/sheet15.xml" Id="R8f13f212263f4231" /><Relationship Type="http://schemas.openxmlformats.org/officeDocument/2006/relationships/worksheet" Target="/xl/worksheets/sheet16.xml" Id="R66128a4c72814bc3" /><Relationship Type="http://schemas.openxmlformats.org/officeDocument/2006/relationships/worksheet" Target="/xl/worksheets/sheet17.xml" Id="Rb97d049043ed41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GuideControls" displayName="TGuideControls" ref="A3:C11" headerRowCount="1" totalsRowCount="0" totalsRowShown="0">
  <x:autoFilter ref="A3:C11"/>
  <x:tableColumns count="3">
    <x:tableColumn id="1" name="Control"/>
    <x:tableColumn id="2" name="Value"/>
    <x:tableColumn id="3" name="Purpo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ccounts" displayName="TAccounts" ref="A3:E50" headerRowCount="1" totalsRowCount="0" totalsRowShown="0">
  <x:autoFilter ref="A3:E50"/>
  <x:tableColumns count="5">
    <x:tableColumn id="1" name="Username"/>
    <x:tableColumn id="2" name="Hidden Auth Email"/>
    <x:tableColumn id="3" name="Role Grants"/>
    <x:tableColumn id="4" name="User ID"/>
    <x:tableColumn id="5" name="Credential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rofiles" displayName="TProfiles" ref="A3:F50" headerRowCount="1" totalsRowCount="0" totalsRowShown="0">
  <x:autoFilter ref="A3:F50"/>
  <x:tableColumns count="6">
    <x:tableColumn id="1" name="User ID"/>
    <x:tableColumn id="2" name="Username"/>
    <x:tableColumn id="3" name="Fictitious Display Name"/>
    <x:tableColumn id="4" name="Region"/>
    <x:tableColumn id="5" name="Org Scope"/>
    <x:tableColumn id="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stablishments" displayName="TEstablishments" ref="A3:I8" headerRowCount="1" totalsRowCount="0" totalsRowShown="0">
  <x:autoFilter ref="A3:I8"/>
  <x:tableColumns count="9">
    <x:tableColumn id="1" name="Factory ID"/>
    <x:tableColumn id="2" name="Factory Code"/>
    <x:tableColumn id="3" name="Fictitious Name"/>
    <x:tableColumn id="4" name="Region"/>
    <x:tableColumn id="5" name="City"/>
    <x:tableColumn id="6" name="Latitude"/>
    <x:tableColumn id="7" name="Longitude"/>
    <x:tableColumn id="8" name="Provenance"/>
    <x:tableColumn id="9" name="Employe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Licences" displayName="TLicences" ref="A3:H8" headerRowCount="1" totalsRowCount="0" totalsRowShown="0">
  <x:autoFilter ref="A3:H8"/>
  <x:tableColumns count="8">
    <x:tableColumn id="1" name="Licence ID"/>
    <x:tableColumn id="2" name="Factory ID"/>
    <x:tableColumn id="3" name="Licence Number"/>
    <x:tableColumn id="4" name="Status"/>
    <x:tableColumn id="5" name="Stage"/>
    <x:tableColumn id="6" name="Issue Date"/>
    <x:tableColumn id="7" name="Expiry Date"/>
    <x:tableColumn id="8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PackagesTemplates" displayName="TPackagesTemplates" ref="A3:G8" headerRowCount="1" totalsRowCount="0" totalsRowShown="0">
  <x:autoFilter ref="A3:G8"/>
  <x:tableColumns count="7">
    <x:tableColumn id="1" name="Package ID"/>
    <x:tableColumn id="2" name="Version ID"/>
    <x:tableColumn id="3" name="Code"/>
    <x:tableColumn id="4" name="Title"/>
    <x:tableColumn id="5" name="Version"/>
    <x:tableColumn id="6" name="Status"/>
    <x:tableColumn id="7" name="Item Co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Plans" displayName="TPlans" ref="A3:G8" headerRowCount="1" totalsRowCount="0" totalsRowShown="0">
  <x:autoFilter ref="A3:G8"/>
  <x:tableColumns count="7">
    <x:tableColumn id="1" name="Plan ID"/>
    <x:tableColumn id="2" name="Plan Reference"/>
    <x:tableColumn id="3" name="Method"/>
    <x:tableColumn id="4" name="Status"/>
    <x:tableColumn id="5" name="Planner Username"/>
    <x:tableColumn id="6" name="Supervisor Username"/>
    <x:tableColumn id="7" name="Cohor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ulkPlans" displayName="TBulkPlans" ref="A3:F4" headerRowCount="1" totalsRowCount="0" totalsRowShown="0">
  <x:autoFilter ref="A3:F4"/>
  <x:tableColumns count="6">
    <x:tableColumn id="1" name="Scenario"/>
    <x:tableColumn id="2" name="Plan ID"/>
    <x:tableColumn id="3" name="Factory Count"/>
    <x:tableColumn id="4" name="Inspector Count"/>
    <x:tableColumn id="5" name="Atomicity"/>
    <x:tableColumn id="6" name="Purpo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Visits" displayName="TVisits" ref="A3:K8" headerRowCount="1" totalsRowCount="0" totalsRowShown="0">
  <x:autoFilter ref="A3:K8"/>
  <x:tableColumns count="11">
    <x:tableColumn id="1" name="Visit ID"/>
    <x:tableColumn id="2" name="Reference"/>
    <x:tableColumn id="3" name="Plan ID"/>
    <x:tableColumn id="4" name="Factory ID"/>
    <x:tableColumn id="5" name="Package Version ID"/>
    <x:tableColumn id="6" name="State"/>
    <x:tableColumn id="7" name="Latitude"/>
    <x:tableColumn id="8" name="Longitude"/>
    <x:tableColumn id="9" name="Planner"/>
    <x:tableColumn id="10" name="Inspector"/>
    <x:tableColumn id="11" name="Cohor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ssignments" displayName="TAssignments" ref="A3:F8" headerRowCount="1" totalsRowCount="0" totalsRowShown="0">
  <x:autoFilter ref="A3:F8"/>
  <x:tableColumns count="6">
    <x:tableColumn id="1" name="Assignment ID"/>
    <x:tableColumn id="2" name="Visit ID"/>
    <x:tableColumn id="3" name="Inspector User ID"/>
    <x:tableColumn id="4" name="Method"/>
    <x:tableColumn id="5" name="Status"/>
    <x:tableColumn id="6" name="Cohor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InspectionData" displayName="TInspectionData" ref="A3:G6" headerRowCount="1" totalsRowCount="0" totalsRowShown="0">
  <x:autoFilter ref="A3:G6"/>
  <x:tableColumns count="7">
    <x:tableColumn id="1" name="Inspection ID"/>
    <x:tableColumn id="2" name="Visit ID"/>
    <x:tableColumn id="3" name="Package Version ID"/>
    <x:tableColumn id="4" name="Lifecycle"/>
    <x:tableColumn id="5" name="Response"/>
    <x:tableColumn id="6" name="Complete"/>
    <x:tableColumn id="7" name="Cohor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FindingsReportsEvidenc" displayName="TFindingsReportsEvidenc" ref="A3:F11" headerRowCount="1" totalsRowCount="0" totalsRowShown="0">
  <x:autoFilter ref="A3:F11"/>
  <x:tableColumns count="6">
    <x:tableColumn id="1" name="Record Type"/>
    <x:tableColumn id="2" name="Record ID"/>
    <x:tableColumn id="3" name="Inspection ID"/>
    <x:tableColumn id="4" name="Description / Path"/>
    <x:tableColumn id="5" name="Severity"/>
    <x:tableColumn id="6" name="SHA-256 / 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RelationshipMatrix" displayName="TRelationshipMatrix" ref="A3:I8" headerRowCount="1" totalsRowCount="0" totalsRowShown="0">
  <x:autoFilter ref="A3:I8"/>
  <x:tableColumns count="9">
    <x:tableColumn id="1" name="Cohort"/>
    <x:tableColumn id="2" name="Admin"/>
    <x:tableColumn id="3" name="Planner"/>
    <x:tableColumn id="4" name="Supervisor"/>
    <x:tableColumn id="5" name="Inspector"/>
    <x:tableColumn id="6" name="Factory"/>
    <x:tableColumn id="7" name="Plan"/>
    <x:tableColumn id="8" name="Visit"/>
    <x:tableColumn id="9" name="Scenari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DataDictionary" displayName="TDataDictionary" ref="A3:E9" headerRowCount="1" totalsRowCount="0" totalsRowShown="0">
  <x:autoFilter ref="A3:E9"/>
  <x:tableColumns count="5">
    <x:tableColumn id="1" name="Sheet"/>
    <x:tableColumn id="2" name="Field"/>
    <x:tableColumn id="3" name="Type"/>
    <x:tableColumn id="4" name="Required"/>
    <x:tableColumn id="5" name="Defini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ImportOrder" displayName="TImportOrder" ref="A3:D13" headerRowCount="1" totalsRowCount="0" totalsRowShown="0">
  <x:autoFilter ref="A3:D13"/>
  <x:tableColumns count="4">
    <x:tableColumn id="1" name="Step"/>
    <x:tableColumn id="2" name="Entity"/>
    <x:tableColumn id="3" name="Action"/>
    <x:tableColumn id="4" name="Rollback Order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ValidationReconciliati" displayName="TValidationReconciliati" ref="A3:D15" headerRowCount="1" totalsRowCount="0" totalsRowShown="0">
  <x:autoFilter ref="A3:D15"/>
  <x:tableColumns count="4">
    <x:tableColumn id="1" name="Check"/>
    <x:tableColumn id="2" name="Expected"/>
    <x:tableColumn id="3" name="Formula / Actual"/>
    <x:tableColumn id="4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ImportSummary" displayName="TImportSummary" ref="A3:D8" headerRowCount="1" totalsRowCount="0" totalsRowShown="0">
  <x:autoFilter ref="A3:D8"/>
  <x:tableColumns count="4">
    <x:tableColumn id="1" name="Metric"/>
    <x:tableColumn id="2" name="Expected"/>
    <x:tableColumn id="3" name="Actual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0bdd66e59649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c31898304845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abbd921d7784b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ee3e91c80146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163cbb18d9244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92e33ac651045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ca60894731d4a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6164518d9694e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2d9f9b56ff540a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ef8f3d541efa4e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3fbc7dd90644fc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d36f85e03b0642e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31dbcf21eb74443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e75192d8ed3468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51c5aeea7af4ac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f12c1ddcb324463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a049cc1ab5048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220000267028809" hidden="0" customWidth="1"/>
    <x:col min="2" max="2" width="17.329999923706055" hidden="0" customWidth="1"/>
    <x:col min="3" max="3" width="32" hidden="0" customWidth="1"/>
  </x:cols>
  <x:sheetData>
    <x:row r="1" ht="28" customHeight="1">
      <x:c r="A1" s="19" t="str">
        <x:v>Guide &amp; Controls</x:v>
      </x:c>
      <x:c r="B1" s="15"/>
      <x:c r="C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</x:row>
    <x:row r="3" ht="28" customHeight="1">
      <x:c r="A3" s="17" t="str">
        <x:v>Control</x:v>
      </x:c>
      <x:c r="B3" s="17" t="str">
        <x:v>Value</x:v>
      </x:c>
      <x:c r="C3" s="17" t="str">
        <x:v>Purpose</x:v>
      </x:c>
    </x:row>
    <x:row r="4">
      <x:c r="A4" s="18" t="str">
        <x:v>Package ID</x:v>
      </x:c>
      <x:c r="B4" s="18" t="str">
        <x:v>local-test-data-v1</x:v>
      </x:c>
      <x:c r="C4" s="18" t="str">
        <x:v>Deterministic seed ownership and rollback key</x:v>
      </x:c>
    </x:row>
    <x:row r="5">
      <x:c r="A5" s="18" t="str">
        <x:v>Environment</x:v>
      </x:c>
      <x:c r="B5" s="18" t="str">
        <x:v>LOCAL ONLY</x:v>
      </x:c>
      <x:c r="C5" s="18" t="str">
        <x:v>Importer refuses non-loopback database hosts</x:v>
      </x:c>
    </x:row>
    <x:row r="6">
      <x:c r="A6" s="18" t="str">
        <x:v>QA password</x:v>
      </x:c>
      <x:c r="B6" s="18" t="str">
        <x:v>OPERATOR SUPPLIED</x:v>
      </x:c>
      <x:c r="C6" s="18" t="str">
        <x:v>Required through fail-closed environment loading; never stored in this package</x:v>
      </x:c>
    </x:row>
    <x:row r="7">
      <x:c r="A7" s="18" t="str">
        <x:v>Production writes</x:v>
      </x:c>
      <x:c r="B7" s="18" t="str">
        <x:v>PROHIBITED</x:v>
      </x:c>
      <x:c r="C7" s="18" t="str">
        <x:v>No production URLs or credentials are stored</x:v>
      </x:c>
    </x:row>
    <x:row r="8">
      <x:c r="A8" s="18" t="str">
        <x:v>Stable IDs</x:v>
      </x:c>
      <x:c r="B8" s="18" t="str">
        <x:v>Enabled</x:v>
      </x:c>
      <x:c r="C8" s="18" t="str">
        <x:v>All business and persona IDs are deterministic</x:v>
      </x:c>
    </x:row>
    <x:row r="9">
      <x:c r="A9" s="18" t="str">
        <x:v>Deletion policy</x:v>
      </x:c>
      <x:c r="B9" s="18" t="str">
        <x:v>Exact-member only</x:v>
      </x:c>
      <x:c r="C9" s="18" t="str">
        <x:v>No heuristic cleanup; immutable audit/history retained</x:v>
      </x:c>
    </x:row>
    <x:row r="10">
      <x:c r="A10" s="18" t="str">
        <x:v>Source schema</x:v>
      </x:c>
      <x:c r="B10" s="18" t="str">
        <x:v>Current local clone</x:v>
      </x:c>
      <x:c r="C10" s="18" t="str">
        <x:v>Derived read-only from active PLN-012 proof schema</x:v>
      </x:c>
    </x:row>
    <x:row r="11">
      <x:c r="A11" s="18" t="str">
        <x:v>Fictitious data</x:v>
      </x:c>
      <x:c r="B11" s="18" t="str">
        <x:v>Yes</x:v>
      </x:c>
      <x:c r="C11" s="18" t="str">
        <x:v>No real person or establishment is represented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330bdd66e596493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890000343322754" hidden="0" customWidth="1"/>
    <x:col min="2" max="2" width="20.559999465942383" hidden="0" customWidth="1"/>
    <x:col min="3" max="3" width="15.4399995803833" hidden="0" customWidth="1"/>
    <x:col min="4" max="4" width="32" hidden="0" customWidth="1"/>
    <x:col min="5" max="5" width="28.219999313354492" hidden="0" customWidth="1"/>
  </x:cols>
  <x:sheetData>
    <x:row r="1" ht="28" customHeight="1">
      <x:c r="A1" s="19" t="str">
        <x:v>Accounts</x:v>
      </x:c>
      <x:c r="B1" s="15"/>
      <x:c r="C1" s="15"/>
      <x:c r="D1" s="15"/>
      <x:c r="E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</x:row>
    <x:row r="3" ht="28" customHeight="1">
      <x:c r="A3" s="17" t="str">
        <x:v>Username</x:v>
      </x:c>
      <x:c r="B3" s="17" t="str">
        <x:v>Hidden Auth Email</x:v>
      </x:c>
      <x:c r="C3" s="17" t="str">
        <x:v>Role Grants</x:v>
      </x:c>
      <x:c r="D3" s="17" t="str">
        <x:v>User ID</x:v>
      </x:c>
      <x:c r="E3" s="17" t="str">
        <x:v>Credential Source</x:v>
      </x:c>
    </x:row>
    <x:row r="4">
      <x:c r="A4" s="18" t="str">
        <x:v>admin1</x:v>
      </x:c>
      <x:c r="B4" s="18" t="str">
        <x:v>admin1@mim.gov.sa</x:v>
      </x:c>
      <x:c r="C4" s="18" t="str">
        <x:v>admin</x:v>
      </x:c>
      <x:c r="D4" s="18" t="str">
        <x:v>a1000000-0000-4000-8000-000000000001</x:v>
      </x:c>
      <x:c r="E4" s="18" t="str">
        <x:v>SAQEEL_CROSS_ROLE_PASSWORD</x:v>
      </x:c>
    </x:row>
    <x:row r="5">
      <x:c r="A5" s="18" t="str">
        <x:v>admin2</x:v>
      </x:c>
      <x:c r="B5" s="18" t="str">
        <x:v>admin2@mim.gov.sa</x:v>
      </x:c>
      <x:c r="C5" s="18" t="str">
        <x:v>admin</x:v>
      </x:c>
      <x:c r="D5" s="18" t="str">
        <x:v>a1000000-0000-4000-8000-000000000002</x:v>
      </x:c>
      <x:c r="E5" s="18" t="str">
        <x:v>SAQEEL_CROSS_ROLE_PASSWORD</x:v>
      </x:c>
    </x:row>
    <x:row r="6">
      <x:c r="A6" s="18" t="str">
        <x:v>admin3</x:v>
      </x:c>
      <x:c r="B6" s="18" t="str">
        <x:v>admin3@mim.gov.sa</x:v>
      </x:c>
      <x:c r="C6" s="18" t="str">
        <x:v>admin</x:v>
      </x:c>
      <x:c r="D6" s="18" t="str">
        <x:v>a1000000-0000-4000-8000-000000000003</x:v>
      </x:c>
      <x:c r="E6" s="18" t="str">
        <x:v>SAQEEL_CROSS_ROLE_PASSWORD</x:v>
      </x:c>
    </x:row>
    <x:row r="7">
      <x:c r="A7" s="18" t="str">
        <x:v>admin4</x:v>
      </x:c>
      <x:c r="B7" s="18" t="str">
        <x:v>admin4@mim.gov.sa</x:v>
      </x:c>
      <x:c r="C7" s="18" t="str">
        <x:v>admin</x:v>
      </x:c>
      <x:c r="D7" s="18" t="str">
        <x:v>a1000000-0000-4000-8000-000000000004</x:v>
      </x:c>
      <x:c r="E7" s="18" t="str">
        <x:v>SAQEEL_CROSS_ROLE_PASSWORD</x:v>
      </x:c>
    </x:row>
    <x:row r="8">
      <x:c r="A8" s="18" t="str">
        <x:v>admin5</x:v>
      </x:c>
      <x:c r="B8" s="18" t="str">
        <x:v>admin5@mim.gov.sa</x:v>
      </x:c>
      <x:c r="C8" s="18" t="str">
        <x:v>admin</x:v>
      </x:c>
      <x:c r="D8" s="18" t="str">
        <x:v>a1000000-0000-4000-8000-000000000005</x:v>
      </x:c>
      <x:c r="E8" s="18" t="str">
        <x:v>SAQEEL_CROSS_ROLE_PASSWORD</x:v>
      </x:c>
    </x:row>
    <x:row r="9">
      <x:c r="A9" s="18" t="str">
        <x:v>planner1</x:v>
      </x:c>
      <x:c r="B9" s="18" t="str">
        <x:v>planner1@mim.gov.sa</x:v>
      </x:c>
      <x:c r="C9" s="18" t="str">
        <x:v>planner</x:v>
      </x:c>
      <x:c r="D9" s="18" t="str">
        <x:v>a2000000-0000-4000-8000-000000000001</x:v>
      </x:c>
      <x:c r="E9" s="18" t="str">
        <x:v>SAQEEL_CROSS_ROLE_PASSWORD</x:v>
      </x:c>
    </x:row>
    <x:row r="10">
      <x:c r="A10" s="18" t="str">
        <x:v>planner2</x:v>
      </x:c>
      <x:c r="B10" s="18" t="str">
        <x:v>planner2@mim.gov.sa</x:v>
      </x:c>
      <x:c r="C10" s="18" t="str">
        <x:v>planner</x:v>
      </x:c>
      <x:c r="D10" s="18" t="str">
        <x:v>a2000000-0000-4000-8000-000000000002</x:v>
      </x:c>
      <x:c r="E10" s="18" t="str">
        <x:v>SAQEEL_CROSS_ROLE_PASSWORD</x:v>
      </x:c>
    </x:row>
    <x:row r="11">
      <x:c r="A11" s="18" t="str">
        <x:v>planner3</x:v>
      </x:c>
      <x:c r="B11" s="18" t="str">
        <x:v>planner3@mim.gov.sa</x:v>
      </x:c>
      <x:c r="C11" s="18" t="str">
        <x:v>planner</x:v>
      </x:c>
      <x:c r="D11" s="18" t="str">
        <x:v>a2000000-0000-4000-8000-000000000003</x:v>
      </x:c>
      <x:c r="E11" s="18" t="str">
        <x:v>SAQEEL_CROSS_ROLE_PASSWORD</x:v>
      </x:c>
    </x:row>
    <x:row r="12">
      <x:c r="A12" s="18" t="str">
        <x:v>planner4</x:v>
      </x:c>
      <x:c r="B12" s="18" t="str">
        <x:v>planner4@mim.gov.sa</x:v>
      </x:c>
      <x:c r="C12" s="18" t="str">
        <x:v>planner</x:v>
      </x:c>
      <x:c r="D12" s="18" t="str">
        <x:v>a2000000-0000-4000-8000-000000000004</x:v>
      </x:c>
      <x:c r="E12" s="18" t="str">
        <x:v>SAQEEL_CROSS_ROLE_PASSWORD</x:v>
      </x:c>
    </x:row>
    <x:row r="13">
      <x:c r="A13" s="18" t="str">
        <x:v>planner5</x:v>
      </x:c>
      <x:c r="B13" s="18" t="str">
        <x:v>planner5@mim.gov.sa</x:v>
      </x:c>
      <x:c r="C13" s="18" t="str">
        <x:v>planner</x:v>
      </x:c>
      <x:c r="D13" s="18" t="str">
        <x:v>a2000000-0000-4000-8000-000000000005</x:v>
      </x:c>
      <x:c r="E13" s="18" t="str">
        <x:v>SAQEEL_CROSS_ROLE_PASSWORD</x:v>
      </x:c>
    </x:row>
    <x:row r="14">
      <x:c r="A14" s="18" t="str">
        <x:v>supervisor1</x:v>
      </x:c>
      <x:c r="B14" s="18" t="str">
        <x:v>supervisor1@mim.gov.sa</x:v>
      </x:c>
      <x:c r="C14" s="18" t="str">
        <x:v>supervisor</x:v>
      </x:c>
      <x:c r="D14" s="18" t="str">
        <x:v>a3000000-0000-4000-8000-000000000001</x:v>
      </x:c>
      <x:c r="E14" s="18" t="str">
        <x:v>SAQEEL_CROSS_ROLE_PASSWORD</x:v>
      </x:c>
    </x:row>
    <x:row r="15">
      <x:c r="A15" s="18" t="str">
        <x:v>supervisor2</x:v>
      </x:c>
      <x:c r="B15" s="18" t="str">
        <x:v>supervisor2@mim.gov.sa</x:v>
      </x:c>
      <x:c r="C15" s="18" t="str">
        <x:v>supervisor</x:v>
      </x:c>
      <x:c r="D15" s="18" t="str">
        <x:v>a3000000-0000-4000-8000-000000000002</x:v>
      </x:c>
      <x:c r="E15" s="18" t="str">
        <x:v>SAQEEL_CROSS_ROLE_PASSWORD</x:v>
      </x:c>
    </x:row>
    <x:row r="16">
      <x:c r="A16" s="18" t="str">
        <x:v>supervisor3</x:v>
      </x:c>
      <x:c r="B16" s="18" t="str">
        <x:v>supervisor3@mim.gov.sa</x:v>
      </x:c>
      <x:c r="C16" s="18" t="str">
        <x:v>supervisor</x:v>
      </x:c>
      <x:c r="D16" s="18" t="str">
        <x:v>a3000000-0000-4000-8000-000000000003</x:v>
      </x:c>
      <x:c r="E16" s="18" t="str">
        <x:v>SAQEEL_CROSS_ROLE_PASSWORD</x:v>
      </x:c>
    </x:row>
    <x:row r="17">
      <x:c r="A17" s="18" t="str">
        <x:v>supervisor4</x:v>
      </x:c>
      <x:c r="B17" s="18" t="str">
        <x:v>supervisor4@mim.gov.sa</x:v>
      </x:c>
      <x:c r="C17" s="18" t="str">
        <x:v>supervisor</x:v>
      </x:c>
      <x:c r="D17" s="18" t="str">
        <x:v>a3000000-0000-4000-8000-000000000004</x:v>
      </x:c>
      <x:c r="E17" s="18" t="str">
        <x:v>SAQEEL_CROSS_ROLE_PASSWORD</x:v>
      </x:c>
    </x:row>
    <x:row r="18">
      <x:c r="A18" s="18" t="str">
        <x:v>supervisor5</x:v>
      </x:c>
      <x:c r="B18" s="18" t="str">
        <x:v>supervisor5@mim.gov.sa</x:v>
      </x:c>
      <x:c r="C18" s="18" t="str">
        <x:v>supervisor</x:v>
      </x:c>
      <x:c r="D18" s="18" t="str">
        <x:v>a3000000-0000-4000-8000-000000000005</x:v>
      </x:c>
      <x:c r="E18" s="18" t="str">
        <x:v>SAQEEL_CROSS_ROLE_PASSWORD</x:v>
      </x:c>
    </x:row>
    <x:row r="19">
      <x:c r="A19" s="18" t="str">
        <x:v>inspector1</x:v>
      </x:c>
      <x:c r="B19" s="18" t="str">
        <x:v>inspector1@mim.gov.sa</x:v>
      </x:c>
      <x:c r="C19" s="18" t="str">
        <x:v>inspector</x:v>
      </x:c>
      <x:c r="D19" s="18" t="str">
        <x:v>a4000000-0000-4000-8000-000000000001</x:v>
      </x:c>
      <x:c r="E19" s="18" t="str">
        <x:v>SAQEEL_CROSS_ROLE_PASSWORD</x:v>
      </x:c>
    </x:row>
    <x:row r="20">
      <x:c r="A20" s="18" t="str">
        <x:v>inspector2</x:v>
      </x:c>
      <x:c r="B20" s="18" t="str">
        <x:v>inspector2@mim.gov.sa</x:v>
      </x:c>
      <x:c r="C20" s="18" t="str">
        <x:v>inspector</x:v>
      </x:c>
      <x:c r="D20" s="18" t="str">
        <x:v>a4000000-0000-4000-8000-000000000002</x:v>
      </x:c>
      <x:c r="E20" s="18" t="str">
        <x:v>SAQEEL_CROSS_ROLE_PASSWORD</x:v>
      </x:c>
    </x:row>
    <x:row r="21">
      <x:c r="A21" s="18" t="str">
        <x:v>inspector3</x:v>
      </x:c>
      <x:c r="B21" s="18" t="str">
        <x:v>inspector3@mim.gov.sa</x:v>
      </x:c>
      <x:c r="C21" s="18" t="str">
        <x:v>inspector</x:v>
      </x:c>
      <x:c r="D21" s="18" t="str">
        <x:v>a4000000-0000-4000-8000-000000000003</x:v>
      </x:c>
      <x:c r="E21" s="18" t="str">
        <x:v>SAQEEL_CROSS_ROLE_PASSWORD</x:v>
      </x:c>
    </x:row>
    <x:row r="22">
      <x:c r="A22" s="18" t="str">
        <x:v>inspector4</x:v>
      </x:c>
      <x:c r="B22" s="18" t="str">
        <x:v>inspector4@mim.gov.sa</x:v>
      </x:c>
      <x:c r="C22" s="18" t="str">
        <x:v>inspector</x:v>
      </x:c>
      <x:c r="D22" s="18" t="str">
        <x:v>a4000000-0000-4000-8000-000000000004</x:v>
      </x:c>
      <x:c r="E22" s="18" t="str">
        <x:v>SAQEEL_CROSS_ROLE_PASSWORD</x:v>
      </x:c>
    </x:row>
    <x:row r="23">
      <x:c r="A23" s="18" t="str">
        <x:v>inspector5</x:v>
      </x:c>
      <x:c r="B23" s="18" t="str">
        <x:v>inspector5@mim.gov.sa</x:v>
      </x:c>
      <x:c r="C23" s="18" t="str">
        <x:v>inspector</x:v>
      </x:c>
      <x:c r="D23" s="18" t="str">
        <x:v>a4000000-0000-4000-8000-000000000005</x:v>
      </x:c>
      <x:c r="E23" s="18" t="str">
        <x:v>SAQEEL_CROSS_ROLE_PASSWORD</x:v>
      </x:c>
    </x:row>
    <x:row r="24">
      <x:c r="A24" s="18" t="str">
        <x:v>inspector6</x:v>
      </x:c>
      <x:c r="B24" s="18" t="str">
        <x:v>inspector6@mim.gov.sa</x:v>
      </x:c>
      <x:c r="C24" s="18" t="str">
        <x:v>inspector</x:v>
      </x:c>
      <x:c r="D24" s="18" t="str">
        <x:v>a4000000-0000-4000-8000-000000000006</x:v>
      </x:c>
      <x:c r="E24" s="18" t="str">
        <x:v>SAQEEL_CROSS_ROLE_PASSWORD</x:v>
      </x:c>
    </x:row>
    <x:row r="25">
      <x:c r="A25" s="18" t="str">
        <x:v>inspector7</x:v>
      </x:c>
      <x:c r="B25" s="18" t="str">
        <x:v>inspector7@mim.gov.sa</x:v>
      </x:c>
      <x:c r="C25" s="18" t="str">
        <x:v>inspector</x:v>
      </x:c>
      <x:c r="D25" s="18" t="str">
        <x:v>a4000000-0000-4000-8000-000000000007</x:v>
      </x:c>
      <x:c r="E25" s="18" t="str">
        <x:v>SAQEEL_CROSS_ROLE_PASSWORD</x:v>
      </x:c>
    </x:row>
    <x:row r="26">
      <x:c r="A26" s="18" t="str">
        <x:v>inspector8</x:v>
      </x:c>
      <x:c r="B26" s="18" t="str">
        <x:v>inspector8@mim.gov.sa</x:v>
      </x:c>
      <x:c r="C26" s="18" t="str">
        <x:v>inspector</x:v>
      </x:c>
      <x:c r="D26" s="18" t="str">
        <x:v>a4000000-0000-4000-8000-000000000008</x:v>
      </x:c>
      <x:c r="E26" s="18" t="str">
        <x:v>SAQEEL_CROSS_ROLE_PASSWORD</x:v>
      </x:c>
    </x:row>
    <x:row r="27">
      <x:c r="A27" s="18" t="str">
        <x:v>inspector9</x:v>
      </x:c>
      <x:c r="B27" s="18" t="str">
        <x:v>inspector9@mim.gov.sa</x:v>
      </x:c>
      <x:c r="C27" s="18" t="str">
        <x:v>inspector</x:v>
      </x:c>
      <x:c r="D27" s="18" t="str">
        <x:v>a4000000-0000-4000-8000-000000000009</x:v>
      </x:c>
      <x:c r="E27" s="18" t="str">
        <x:v>SAQEEL_CROSS_ROLE_PASSWORD</x:v>
      </x:c>
    </x:row>
    <x:row r="28">
      <x:c r="A28" s="18" t="str">
        <x:v>inspector10</x:v>
      </x:c>
      <x:c r="B28" s="18" t="str">
        <x:v>inspector10@mim.gov.sa</x:v>
      </x:c>
      <x:c r="C28" s="18" t="str">
        <x:v>inspector</x:v>
      </x:c>
      <x:c r="D28" s="18" t="str">
        <x:v>a4000000-0000-4000-8000-000000000010</x:v>
      </x:c>
      <x:c r="E28" s="18" t="str">
        <x:v>SAQEEL_CROSS_ROLE_PASSWORD</x:v>
      </x:c>
    </x:row>
    <x:row r="29">
      <x:c r="A29" s="18" t="str">
        <x:v>inspector11</x:v>
      </x:c>
      <x:c r="B29" s="18" t="str">
        <x:v>inspector11@mim.gov.sa</x:v>
      </x:c>
      <x:c r="C29" s="18" t="str">
        <x:v>inspector</x:v>
      </x:c>
      <x:c r="D29" s="18" t="str">
        <x:v>a4000000-0000-4000-8000-000000000011</x:v>
      </x:c>
      <x:c r="E29" s="18" t="str">
        <x:v>SAQEEL_CROSS_ROLE_PASSWORD</x:v>
      </x:c>
    </x:row>
    <x:row r="30">
      <x:c r="A30" s="18" t="str">
        <x:v>inspector12</x:v>
      </x:c>
      <x:c r="B30" s="18" t="str">
        <x:v>inspector12@mim.gov.sa</x:v>
      </x:c>
      <x:c r="C30" s="18" t="str">
        <x:v>inspector</x:v>
      </x:c>
      <x:c r="D30" s="18" t="str">
        <x:v>a4000000-0000-4000-8000-000000000012</x:v>
      </x:c>
      <x:c r="E30" s="18" t="str">
        <x:v>SAQEEL_CROSS_ROLE_PASSWORD</x:v>
      </x:c>
    </x:row>
    <x:row r="31">
      <x:c r="A31" s="18" t="str">
        <x:v>inspector13</x:v>
      </x:c>
      <x:c r="B31" s="18" t="str">
        <x:v>inspector13@mim.gov.sa</x:v>
      </x:c>
      <x:c r="C31" s="18" t="str">
        <x:v>inspector</x:v>
      </x:c>
      <x:c r="D31" s="18" t="str">
        <x:v>a4000000-0000-4000-8000-000000000013</x:v>
      </x:c>
      <x:c r="E31" s="18" t="str">
        <x:v>SAQEEL_CROSS_ROLE_PASSWORD</x:v>
      </x:c>
    </x:row>
    <x:row r="32">
      <x:c r="A32" s="18" t="str">
        <x:v>inspector14</x:v>
      </x:c>
      <x:c r="B32" s="18" t="str">
        <x:v>inspector14@mim.gov.sa</x:v>
      </x:c>
      <x:c r="C32" s="18" t="str">
        <x:v>inspector</x:v>
      </x:c>
      <x:c r="D32" s="18" t="str">
        <x:v>a4000000-0000-4000-8000-000000000014</x:v>
      </x:c>
      <x:c r="E32" s="18" t="str">
        <x:v>SAQEEL_CROSS_ROLE_PASSWORD</x:v>
      </x:c>
    </x:row>
    <x:row r="33">
      <x:c r="A33" s="18" t="str">
        <x:v>inspector15</x:v>
      </x:c>
      <x:c r="B33" s="18" t="str">
        <x:v>inspector15@mim.gov.sa</x:v>
      </x:c>
      <x:c r="C33" s="18" t="str">
        <x:v>inspector</x:v>
      </x:c>
      <x:c r="D33" s="18" t="str">
        <x:v>a4000000-0000-4000-8000-000000000015</x:v>
      </x:c>
      <x:c r="E33" s="18" t="str">
        <x:v>SAQEEL_CROSS_ROLE_PASSWORD</x:v>
      </x:c>
    </x:row>
    <x:row r="34">
      <x:c r="A34" s="18" t="str">
        <x:v>inspector16</x:v>
      </x:c>
      <x:c r="B34" s="18" t="str">
        <x:v>inspector16@mim.gov.sa</x:v>
      </x:c>
      <x:c r="C34" s="18" t="str">
        <x:v>inspector</x:v>
      </x:c>
      <x:c r="D34" s="18" t="str">
        <x:v>a4000000-0000-4000-8000-000000000016</x:v>
      </x:c>
      <x:c r="E34" s="18" t="str">
        <x:v>SAQEEL_CROSS_ROLE_PASSWORD</x:v>
      </x:c>
    </x:row>
    <x:row r="35">
      <x:c r="A35" s="18" t="str">
        <x:v>inspector17</x:v>
      </x:c>
      <x:c r="B35" s="18" t="str">
        <x:v>inspector17@mim.gov.sa</x:v>
      </x:c>
      <x:c r="C35" s="18" t="str">
        <x:v>inspector</x:v>
      </x:c>
      <x:c r="D35" s="18" t="str">
        <x:v>a4000000-0000-4000-8000-000000000017</x:v>
      </x:c>
      <x:c r="E35" s="18" t="str">
        <x:v>SAQEEL_CROSS_ROLE_PASSWORD</x:v>
      </x:c>
    </x:row>
    <x:row r="36">
      <x:c r="A36" s="18" t="str">
        <x:v>inspector18</x:v>
      </x:c>
      <x:c r="B36" s="18" t="str">
        <x:v>inspector18@mim.gov.sa</x:v>
      </x:c>
      <x:c r="C36" s="18" t="str">
        <x:v>inspector</x:v>
      </x:c>
      <x:c r="D36" s="18" t="str">
        <x:v>a4000000-0000-4000-8000-000000000018</x:v>
      </x:c>
      <x:c r="E36" s="18" t="str">
        <x:v>SAQEEL_CROSS_ROLE_PASSWORD</x:v>
      </x:c>
    </x:row>
    <x:row r="37">
      <x:c r="A37" s="18" t="str">
        <x:v>inspector19</x:v>
      </x:c>
      <x:c r="B37" s="18" t="str">
        <x:v>inspector19@mim.gov.sa</x:v>
      </x:c>
      <x:c r="C37" s="18" t="str">
        <x:v>inspector</x:v>
      </x:c>
      <x:c r="D37" s="18" t="str">
        <x:v>a4000000-0000-4000-8000-000000000019</x:v>
      </x:c>
      <x:c r="E37" s="18" t="str">
        <x:v>SAQEEL_CROSS_ROLE_PASSWORD</x:v>
      </x:c>
    </x:row>
    <x:row r="38">
      <x:c r="A38" s="18" t="str">
        <x:v>inspector20</x:v>
      </x:c>
      <x:c r="B38" s="18" t="str">
        <x:v>inspector20@mim.gov.sa</x:v>
      </x:c>
      <x:c r="C38" s="18" t="str">
        <x:v>inspector</x:v>
      </x:c>
      <x:c r="D38" s="18" t="str">
        <x:v>a4000000-0000-4000-8000-000000000020</x:v>
      </x:c>
      <x:c r="E38" s="18" t="str">
        <x:v>SAQEEL_CROSS_ROLE_PASSWORD</x:v>
      </x:c>
    </x:row>
    <x:row r="39">
      <x:c r="A39" s="18" t="str">
        <x:v>inspector21</x:v>
      </x:c>
      <x:c r="B39" s="18" t="str">
        <x:v>inspector21@mim.gov.sa</x:v>
      </x:c>
      <x:c r="C39" s="18" t="str">
        <x:v>inspector</x:v>
      </x:c>
      <x:c r="D39" s="18" t="str">
        <x:v>a4000000-0000-4000-8000-000000000021</x:v>
      </x:c>
      <x:c r="E39" s="18" t="str">
        <x:v>SAQEEL_CROSS_ROLE_PASSWORD</x:v>
      </x:c>
    </x:row>
    <x:row r="40">
      <x:c r="A40" s="18" t="str">
        <x:v>inspector22</x:v>
      </x:c>
      <x:c r="B40" s="18" t="str">
        <x:v>inspector22@mim.gov.sa</x:v>
      </x:c>
      <x:c r="C40" s="18" t="str">
        <x:v>inspector</x:v>
      </x:c>
      <x:c r="D40" s="18" t="str">
        <x:v>a4000000-0000-4000-8000-000000000022</x:v>
      </x:c>
      <x:c r="E40" s="18" t="str">
        <x:v>SAQEEL_CROSS_ROLE_PASSWORD</x:v>
      </x:c>
    </x:row>
    <x:row r="41">
      <x:c r="A41" s="18" t="str">
        <x:v>inspector23</x:v>
      </x:c>
      <x:c r="B41" s="18" t="str">
        <x:v>inspector23@mim.gov.sa</x:v>
      </x:c>
      <x:c r="C41" s="18" t="str">
        <x:v>inspector</x:v>
      </x:c>
      <x:c r="D41" s="18" t="str">
        <x:v>a4000000-0000-4000-8000-000000000023</x:v>
      </x:c>
      <x:c r="E41" s="18" t="str">
        <x:v>SAQEEL_CROSS_ROLE_PASSWORD</x:v>
      </x:c>
    </x:row>
    <x:row r="42">
      <x:c r="A42" s="18" t="str">
        <x:v>inspector24</x:v>
      </x:c>
      <x:c r="B42" s="18" t="str">
        <x:v>inspector24@mim.gov.sa</x:v>
      </x:c>
      <x:c r="C42" s="18" t="str">
        <x:v>inspector</x:v>
      </x:c>
      <x:c r="D42" s="18" t="str">
        <x:v>a4000000-0000-4000-8000-000000000024</x:v>
      </x:c>
      <x:c r="E42" s="18" t="str">
        <x:v>SAQEEL_CROSS_ROLE_PASSWORD</x:v>
      </x:c>
    </x:row>
    <x:row r="43">
      <x:c r="A43" s="18" t="str">
        <x:v>inspector25</x:v>
      </x:c>
      <x:c r="B43" s="18" t="str">
        <x:v>inspector25@mim.gov.sa</x:v>
      </x:c>
      <x:c r="C43" s="18" t="str">
        <x:v>inspector</x:v>
      </x:c>
      <x:c r="D43" s="18" t="str">
        <x:v>a4000000-0000-4000-8000-000000000025</x:v>
      </x:c>
      <x:c r="E43" s="18" t="str">
        <x:v>SAQEEL_CROSS_ROLE_PASSWORD</x:v>
      </x:c>
    </x:row>
    <x:row r="44">
      <x:c r="A44" s="18" t="str">
        <x:v>inspector26</x:v>
      </x:c>
      <x:c r="B44" s="18" t="str">
        <x:v>inspector26@mim.gov.sa</x:v>
      </x:c>
      <x:c r="C44" s="18" t="str">
        <x:v>inspector</x:v>
      </x:c>
      <x:c r="D44" s="18" t="str">
        <x:v>a4000000-0000-4000-8000-000000000026</x:v>
      </x:c>
      <x:c r="E44" s="18" t="str">
        <x:v>SAQEEL_CROSS_ROLE_PASSWORD</x:v>
      </x:c>
    </x:row>
    <x:row r="45">
      <x:c r="A45" s="18" t="str">
        <x:v>inspector27</x:v>
      </x:c>
      <x:c r="B45" s="18" t="str">
        <x:v>inspector27@mim.gov.sa</x:v>
      </x:c>
      <x:c r="C45" s="18" t="str">
        <x:v>inspector</x:v>
      </x:c>
      <x:c r="D45" s="18" t="str">
        <x:v>a4000000-0000-4000-8000-000000000027</x:v>
      </x:c>
      <x:c r="E45" s="18" t="str">
        <x:v>SAQEEL_CROSS_ROLE_PASSWORD</x:v>
      </x:c>
    </x:row>
    <x:row r="46">
      <x:c r="A46" s="18" t="str">
        <x:v>inspector28</x:v>
      </x:c>
      <x:c r="B46" s="18" t="str">
        <x:v>inspector28@mim.gov.sa</x:v>
      </x:c>
      <x:c r="C46" s="18" t="str">
        <x:v>inspector</x:v>
      </x:c>
      <x:c r="D46" s="18" t="str">
        <x:v>a4000000-0000-4000-8000-000000000028</x:v>
      </x:c>
      <x:c r="E46" s="18" t="str">
        <x:v>SAQEEL_CROSS_ROLE_PASSWORD</x:v>
      </x:c>
    </x:row>
    <x:row r="47">
      <x:c r="A47" s="18" t="str">
        <x:v>inspector29</x:v>
      </x:c>
      <x:c r="B47" s="18" t="str">
        <x:v>inspector29@mim.gov.sa</x:v>
      </x:c>
      <x:c r="C47" s="18" t="str">
        <x:v>inspector</x:v>
      </x:c>
      <x:c r="D47" s="18" t="str">
        <x:v>a4000000-0000-4000-8000-000000000029</x:v>
      </x:c>
      <x:c r="E47" s="18" t="str">
        <x:v>SAQEEL_CROSS_ROLE_PASSWORD</x:v>
      </x:c>
    </x:row>
    <x:row r="48">
      <x:c r="A48" s="18" t="str">
        <x:v>inspector30</x:v>
      </x:c>
      <x:c r="B48" s="18" t="str">
        <x:v>inspector30@mim.gov.sa</x:v>
      </x:c>
      <x:c r="C48" s="18" t="str">
        <x:v>inspector</x:v>
      </x:c>
      <x:c r="D48" s="18" t="str">
        <x:v>a4000000-0000-4000-8000-000000000030</x:v>
      </x:c>
      <x:c r="E48" s="18" t="str">
        <x:v>SAQEEL_CROSS_ROLE_PASSWORD</x:v>
      </x:c>
    </x:row>
    <x:row r="49">
      <x:c r="A49" s="18" t="str">
        <x:v>multi-role</x:v>
      </x:c>
      <x:c r="B49" s="18" t="str">
        <x:v>multi-role@mim.gov.sa</x:v>
      </x:c>
      <x:c r="C49" s="18" t="str">
        <x:v>planner + supervisor</x:v>
      </x:c>
      <x:c r="D49" s="18" t="str">
        <x:v>a5000000-0000-4000-8000-000000000001</x:v>
      </x:c>
      <x:c r="E49" s="18" t="str">
        <x:v>SAQEEL_CROSS_ROLE_PASSWORD</x:v>
      </x:c>
    </x:row>
    <x:row r="50">
      <x:c r="A50" s="18" t="str">
        <x:v>no-workspace</x:v>
      </x:c>
      <x:c r="B50" s="18" t="str">
        <x:v>no-workspace@mim.gov.sa</x:v>
      </x:c>
      <x:c r="C50" s="18" t="str">
        <x:v>none (refusal case)</x:v>
      </x:c>
      <x:c r="D50" s="18" t="str">
        <x:v>a6000000-0000-4000-8000-000000000001</x:v>
      </x:c>
      <x:c r="E50" s="18" t="str">
        <x:v>SAQEEL_CROSS_ROLE_PASSWORD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bc31898304845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.890000343322754" hidden="0" customWidth="1"/>
    <x:col min="3" max="3" width="21" hidden="0" customWidth="1"/>
    <x:col min="4" max="4" width="12.890000343322754" hidden="0" customWidth="1"/>
    <x:col min="5" max="5" width="11" hidden="0" customWidth="1"/>
    <x:col min="6" max="6" width="7.670000076293945" hidden="0" customWidth="1"/>
  </x:cols>
  <x:sheetData>
    <x:row r="1" ht="28" customHeight="1">
      <x:c r="A1" s="19" t="str">
        <x:v>Profiles</x:v>
      </x:c>
      <x:c r="B1" s="15"/>
      <x:c r="C1" s="15"/>
      <x:c r="D1" s="15"/>
      <x:c r="E1" s="15"/>
      <x:c r="F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</x:row>
    <x:row r="3" ht="28" customHeight="1">
      <x:c r="A3" s="17" t="str">
        <x:v>User ID</x:v>
      </x:c>
      <x:c r="B3" s="17" t="str">
        <x:v>Username</x:v>
      </x:c>
      <x:c r="C3" s="17" t="str">
        <x:v>Fictitious Display Name</x:v>
      </x:c>
      <x:c r="D3" s="17" t="str">
        <x:v>Region</x:v>
      </x:c>
      <x:c r="E3" s="17" t="str">
        <x:v>Org Scope</x:v>
      </x:c>
      <x:c r="F3" s="17" t="str">
        <x:v>Status</x:v>
      </x:c>
    </x:row>
    <x:row r="4">
      <x:c r="A4" s="18" t="str">
        <x:v>a1000000-0000-4000-8000-000000000001</x:v>
      </x:c>
      <x:c r="B4" s="18" t="str">
        <x:v>admin1</x:v>
      </x:c>
      <x:c r="C4" s="18" t="str">
        <x:v>نورة العتيبي</x:v>
      </x:c>
      <x:c r="D4" s="18" t="str">
        <x:v>Riyadh</x:v>
      </x:c>
      <x:c r="E4" s="18" t="str">
        <x:v>national</x:v>
      </x:c>
      <x:c r="F4" s="18" t="str">
        <x:v>active</x:v>
      </x:c>
    </x:row>
    <x:row r="5">
      <x:c r="A5" s="18" t="str">
        <x:v>a1000000-0000-4000-8000-000000000002</x:v>
      </x:c>
      <x:c r="B5" s="18" t="str">
        <x:v>admin2</x:v>
      </x:c>
      <x:c r="C5" s="18" t="str">
        <x:v>ريم القحطاني</x:v>
      </x:c>
      <x:c r="D5" s="18" t="str">
        <x:v>Eastern Province</x:v>
      </x:c>
      <x:c r="E5" s="18" t="str">
        <x:v>national</x:v>
      </x:c>
      <x:c r="F5" s="18" t="str">
        <x:v>active</x:v>
      </x:c>
    </x:row>
    <x:row r="6">
      <x:c r="A6" s="18" t="str">
        <x:v>a1000000-0000-4000-8000-000000000003</x:v>
      </x:c>
      <x:c r="B6" s="18" t="str">
        <x:v>admin3</x:v>
      </x:c>
      <x:c r="C6" s="18" t="str">
        <x:v>سارة الحربي</x:v>
      </x:c>
      <x:c r="D6" s="18" t="str">
        <x:v>Makkah</x:v>
      </x:c>
      <x:c r="E6" s="18" t="str">
        <x:v>national</x:v>
      </x:c>
      <x:c r="F6" s="18" t="str">
        <x:v>active</x:v>
      </x:c>
    </x:row>
    <x:row r="7">
      <x:c r="A7" s="18" t="str">
        <x:v>a1000000-0000-4000-8000-000000000004</x:v>
      </x:c>
      <x:c r="B7" s="18" t="str">
        <x:v>admin4</x:v>
      </x:c>
      <x:c r="C7" s="18" t="str">
        <x:v>هيا الدوسري</x:v>
      </x:c>
      <x:c r="D7" s="18" t="str">
        <x:v>Madinah</x:v>
      </x:c>
      <x:c r="E7" s="18" t="str">
        <x:v>national</x:v>
      </x:c>
      <x:c r="F7" s="18" t="str">
        <x:v>active</x:v>
      </x:c>
    </x:row>
    <x:row r="8">
      <x:c r="A8" s="18" t="str">
        <x:v>a1000000-0000-4000-8000-000000000005</x:v>
      </x:c>
      <x:c r="B8" s="18" t="str">
        <x:v>admin5</x:v>
      </x:c>
      <x:c r="C8" s="18" t="str">
        <x:v>لطيفة الشهري</x:v>
      </x:c>
      <x:c r="D8" s="18" t="str">
        <x:v>Qassim</x:v>
      </x:c>
      <x:c r="E8" s="18" t="str">
        <x:v>national</x:v>
      </x:c>
      <x:c r="F8" s="18" t="str">
        <x:v>active</x:v>
      </x:c>
    </x:row>
    <x:row r="9">
      <x:c r="A9" s="18" t="str">
        <x:v>a2000000-0000-4000-8000-000000000001</x:v>
      </x:c>
      <x:c r="B9" s="18" t="str">
        <x:v>planner1</x:v>
      </x:c>
      <x:c r="C9" s="18" t="str">
        <x:v>عبدالله السبيعي</x:v>
      </x:c>
      <x:c r="D9" s="18" t="str">
        <x:v>Riyadh</x:v>
      </x:c>
      <x:c r="E9" s="18" t="str">
        <x:v>regional</x:v>
      </x:c>
      <x:c r="F9" s="18" t="str">
        <x:v>active</x:v>
      </x:c>
    </x:row>
    <x:row r="10">
      <x:c r="A10" s="18" t="str">
        <x:v>a2000000-0000-4000-8000-000000000002</x:v>
      </x:c>
      <x:c r="B10" s="18" t="str">
        <x:v>planner2</x:v>
      </x:c>
      <x:c r="C10" s="18" t="str">
        <x:v>فيصل الغامدي</x:v>
      </x:c>
      <x:c r="D10" s="18" t="str">
        <x:v>Eastern Province</x:v>
      </x:c>
      <x:c r="E10" s="18" t="str">
        <x:v>regional</x:v>
      </x:c>
      <x:c r="F10" s="18" t="str">
        <x:v>active</x:v>
      </x:c>
    </x:row>
    <x:row r="11">
      <x:c r="A11" s="18" t="str">
        <x:v>a2000000-0000-4000-8000-000000000003</x:v>
      </x:c>
      <x:c r="B11" s="18" t="str">
        <x:v>planner3</x:v>
      </x:c>
      <x:c r="C11" s="18" t="str">
        <x:v>ماجد الزهراني</x:v>
      </x:c>
      <x:c r="D11" s="18" t="str">
        <x:v>Makkah</x:v>
      </x:c>
      <x:c r="E11" s="18" t="str">
        <x:v>regional</x:v>
      </x:c>
      <x:c r="F11" s="18" t="str">
        <x:v>active</x:v>
      </x:c>
    </x:row>
    <x:row r="12">
      <x:c r="A12" s="18" t="str">
        <x:v>a2000000-0000-4000-8000-000000000004</x:v>
      </x:c>
      <x:c r="B12" s="18" t="str">
        <x:v>planner4</x:v>
      </x:c>
      <x:c r="C12" s="18" t="str">
        <x:v>تركي المطيري</x:v>
      </x:c>
      <x:c r="D12" s="18" t="str">
        <x:v>Madinah</x:v>
      </x:c>
      <x:c r="E12" s="18" t="str">
        <x:v>regional</x:v>
      </x:c>
      <x:c r="F12" s="18" t="str">
        <x:v>active</x:v>
      </x:c>
    </x:row>
    <x:row r="13">
      <x:c r="A13" s="18" t="str">
        <x:v>a2000000-0000-4000-8000-000000000005</x:v>
      </x:c>
      <x:c r="B13" s="18" t="str">
        <x:v>planner5</x:v>
      </x:c>
      <x:c r="C13" s="18" t="str">
        <x:v>خالد الرشيدي</x:v>
      </x:c>
      <x:c r="D13" s="18" t="str">
        <x:v>Qassim</x:v>
      </x:c>
      <x:c r="E13" s="18" t="str">
        <x:v>regional</x:v>
      </x:c>
      <x:c r="F13" s="18" t="str">
        <x:v>active</x:v>
      </x:c>
    </x:row>
    <x:row r="14">
      <x:c r="A14" s="18" t="str">
        <x:v>a3000000-0000-4000-8000-000000000001</x:v>
      </x:c>
      <x:c r="B14" s="18" t="str">
        <x:v>supervisor1</x:v>
      </x:c>
      <x:c r="C14" s="18" t="str">
        <x:v>محمد العنزي</x:v>
      </x:c>
      <x:c r="D14" s="18" t="str">
        <x:v>Riyadh</x:v>
      </x:c>
      <x:c r="E14" s="18" t="str">
        <x:v>regional</x:v>
      </x:c>
      <x:c r="F14" s="18" t="str">
        <x:v>active</x:v>
      </x:c>
    </x:row>
    <x:row r="15">
      <x:c r="A15" s="18" t="str">
        <x:v>a3000000-0000-4000-8000-000000000002</x:v>
      </x:c>
      <x:c r="B15" s="18" t="str">
        <x:v>supervisor2</x:v>
      </x:c>
      <x:c r="C15" s="18" t="str">
        <x:v>أحمد الشمري</x:v>
      </x:c>
      <x:c r="D15" s="18" t="str">
        <x:v>Eastern Province</x:v>
      </x:c>
      <x:c r="E15" s="18" t="str">
        <x:v>regional</x:v>
      </x:c>
      <x:c r="F15" s="18" t="str">
        <x:v>active</x:v>
      </x:c>
    </x:row>
    <x:row r="16">
      <x:c r="A16" s="18" t="str">
        <x:v>a3000000-0000-4000-8000-000000000003</x:v>
      </x:c>
      <x:c r="B16" s="18" t="str">
        <x:v>supervisor3</x:v>
      </x:c>
      <x:c r="C16" s="18" t="str">
        <x:v>سلمان الثقفي</x:v>
      </x:c>
      <x:c r="D16" s="18" t="str">
        <x:v>Makkah</x:v>
      </x:c>
      <x:c r="E16" s="18" t="str">
        <x:v>regional</x:v>
      </x:c>
      <x:c r="F16" s="18" t="str">
        <x:v>active</x:v>
      </x:c>
    </x:row>
    <x:row r="17">
      <x:c r="A17" s="18" t="str">
        <x:v>a3000000-0000-4000-8000-000000000004</x:v>
      </x:c>
      <x:c r="B17" s="18" t="str">
        <x:v>supervisor4</x:v>
      </x:c>
      <x:c r="C17" s="18" t="str">
        <x:v>ياسر الجهني</x:v>
      </x:c>
      <x:c r="D17" s="18" t="str">
        <x:v>Madinah</x:v>
      </x:c>
      <x:c r="E17" s="18" t="str">
        <x:v>regional</x:v>
      </x:c>
      <x:c r="F17" s="18" t="str">
        <x:v>active</x:v>
      </x:c>
    </x:row>
    <x:row r="18">
      <x:c r="A18" s="18" t="str">
        <x:v>a3000000-0000-4000-8000-000000000005</x:v>
      </x:c>
      <x:c r="B18" s="18" t="str">
        <x:v>supervisor5</x:v>
      </x:c>
      <x:c r="C18" s="18" t="str">
        <x:v>بدر التميمي</x:v>
      </x:c>
      <x:c r="D18" s="18" t="str">
        <x:v>Qassim</x:v>
      </x:c>
      <x:c r="E18" s="18" t="str">
        <x:v>regional</x:v>
      </x:c>
      <x:c r="F18" s="18" t="str">
        <x:v>active</x:v>
      </x:c>
    </x:row>
    <x:row r="19">
      <x:c r="A19" s="18" t="str">
        <x:v>a4000000-0000-4000-8000-000000000001</x:v>
      </x:c>
      <x:c r="B19" s="18" t="str">
        <x:v>inspector1</x:v>
      </x:c>
      <x:c r="C19" s="18" t="str">
        <x:v>فهد الدوسري</x:v>
      </x:c>
      <x:c r="D19" s="18" t="str">
        <x:v>Riyadh</x:v>
      </x:c>
      <x:c r="E19" s="18" t="str">
        <x:v>regional</x:v>
      </x:c>
      <x:c r="F19" s="18" t="str">
        <x:v>active</x:v>
      </x:c>
    </x:row>
    <x:row r="20">
      <x:c r="A20" s="18" t="str">
        <x:v>a4000000-0000-4000-8000-000000000002</x:v>
      </x:c>
      <x:c r="B20" s="18" t="str">
        <x:v>inspector2</x:v>
      </x:c>
      <x:c r="C20" s="18" t="str">
        <x:v>عمر القحطاني</x:v>
      </x:c>
      <x:c r="D20" s="18" t="str">
        <x:v>Eastern Province</x:v>
      </x:c>
      <x:c r="E20" s="18" t="str">
        <x:v>regional</x:v>
      </x:c>
      <x:c r="F20" s="18" t="str">
        <x:v>active</x:v>
      </x:c>
    </x:row>
    <x:row r="21">
      <x:c r="A21" s="18" t="str">
        <x:v>a4000000-0000-4000-8000-000000000003</x:v>
      </x:c>
      <x:c r="B21" s="18" t="str">
        <x:v>inspector3</x:v>
      </x:c>
      <x:c r="C21" s="18" t="str">
        <x:v>زياد الحارثي</x:v>
      </x:c>
      <x:c r="D21" s="18" t="str">
        <x:v>Makkah</x:v>
      </x:c>
      <x:c r="E21" s="18" t="str">
        <x:v>regional</x:v>
      </x:c>
      <x:c r="F21" s="18" t="str">
        <x:v>active</x:v>
      </x:c>
    </x:row>
    <x:row r="22">
      <x:c r="A22" s="18" t="str">
        <x:v>a4000000-0000-4000-8000-000000000004</x:v>
      </x:c>
      <x:c r="B22" s="18" t="str">
        <x:v>inspector4</x:v>
      </x:c>
      <x:c r="C22" s="18" t="str">
        <x:v>ناصر البلوي</x:v>
      </x:c>
      <x:c r="D22" s="18" t="str">
        <x:v>Madinah</x:v>
      </x:c>
      <x:c r="E22" s="18" t="str">
        <x:v>regional</x:v>
      </x:c>
      <x:c r="F22" s="18" t="str">
        <x:v>active</x:v>
      </x:c>
    </x:row>
    <x:row r="23">
      <x:c r="A23" s="18" t="str">
        <x:v>a4000000-0000-4000-8000-000000000005</x:v>
      </x:c>
      <x:c r="B23" s="18" t="str">
        <x:v>inspector5</x:v>
      </x:c>
      <x:c r="C23" s="18" t="str">
        <x:v>راشد المطيري</x:v>
      </x:c>
      <x:c r="D23" s="18" t="str">
        <x:v>Qassim</x:v>
      </x:c>
      <x:c r="E23" s="18" t="str">
        <x:v>regional</x:v>
      </x:c>
      <x:c r="F23" s="18" t="str">
        <x:v>active</x:v>
      </x:c>
    </x:row>
    <x:row r="24">
      <x:c r="A24" s="18" t="str">
        <x:v>a4000000-0000-4000-8000-000000000006</x:v>
      </x:c>
      <x:c r="B24" s="18" t="str">
        <x:v>inspector6</x:v>
      </x:c>
      <x:c r="C24" s="18" t="str">
        <x:v>Synthetic Inspector 06</x:v>
      </x:c>
      <x:c r="D24" s="18" t="str">
        <x:v>Riyadh</x:v>
      </x:c>
      <x:c r="E24" s="18" t="str">
        <x:v>regional</x:v>
      </x:c>
      <x:c r="F24" s="18" t="str">
        <x:v>active</x:v>
      </x:c>
    </x:row>
    <x:row r="25">
      <x:c r="A25" s="18" t="str">
        <x:v>a4000000-0000-4000-8000-000000000007</x:v>
      </x:c>
      <x:c r="B25" s="18" t="str">
        <x:v>inspector7</x:v>
      </x:c>
      <x:c r="C25" s="18" t="str">
        <x:v>Synthetic Inspector 07</x:v>
      </x:c>
      <x:c r="D25" s="18" t="str">
        <x:v>Eastern Province</x:v>
      </x:c>
      <x:c r="E25" s="18" t="str">
        <x:v>regional</x:v>
      </x:c>
      <x:c r="F25" s="18" t="str">
        <x:v>active</x:v>
      </x:c>
    </x:row>
    <x:row r="26">
      <x:c r="A26" s="18" t="str">
        <x:v>a4000000-0000-4000-8000-000000000008</x:v>
      </x:c>
      <x:c r="B26" s="18" t="str">
        <x:v>inspector8</x:v>
      </x:c>
      <x:c r="C26" s="18" t="str">
        <x:v>Synthetic Inspector 08</x:v>
      </x:c>
      <x:c r="D26" s="18" t="str">
        <x:v>Makkah</x:v>
      </x:c>
      <x:c r="E26" s="18" t="str">
        <x:v>regional</x:v>
      </x:c>
      <x:c r="F26" s="18" t="str">
        <x:v>active</x:v>
      </x:c>
    </x:row>
    <x:row r="27">
      <x:c r="A27" s="18" t="str">
        <x:v>a4000000-0000-4000-8000-000000000009</x:v>
      </x:c>
      <x:c r="B27" s="18" t="str">
        <x:v>inspector9</x:v>
      </x:c>
      <x:c r="C27" s="18" t="str">
        <x:v>Synthetic Inspector 09</x:v>
      </x:c>
      <x:c r="D27" s="18" t="str">
        <x:v>Madinah</x:v>
      </x:c>
      <x:c r="E27" s="18" t="str">
        <x:v>regional</x:v>
      </x:c>
      <x:c r="F27" s="18" t="str">
        <x:v>active</x:v>
      </x:c>
    </x:row>
    <x:row r="28">
      <x:c r="A28" s="18" t="str">
        <x:v>a4000000-0000-4000-8000-000000000010</x:v>
      </x:c>
      <x:c r="B28" s="18" t="str">
        <x:v>inspector10</x:v>
      </x:c>
      <x:c r="C28" s="18" t="str">
        <x:v>Synthetic Inspector 10</x:v>
      </x:c>
      <x:c r="D28" s="18" t="str">
        <x:v>Qassim</x:v>
      </x:c>
      <x:c r="E28" s="18" t="str">
        <x:v>regional</x:v>
      </x:c>
      <x:c r="F28" s="18" t="str">
        <x:v>active</x:v>
      </x:c>
    </x:row>
    <x:row r="29">
      <x:c r="A29" s="18" t="str">
        <x:v>a4000000-0000-4000-8000-000000000011</x:v>
      </x:c>
      <x:c r="B29" s="18" t="str">
        <x:v>inspector11</x:v>
      </x:c>
      <x:c r="C29" s="18" t="str">
        <x:v>Synthetic Inspector 11</x:v>
      </x:c>
      <x:c r="D29" s="18" t="str">
        <x:v>Riyadh</x:v>
      </x:c>
      <x:c r="E29" s="18" t="str">
        <x:v>regional</x:v>
      </x:c>
      <x:c r="F29" s="18" t="str">
        <x:v>active</x:v>
      </x:c>
    </x:row>
    <x:row r="30">
      <x:c r="A30" s="18" t="str">
        <x:v>a4000000-0000-4000-8000-000000000012</x:v>
      </x:c>
      <x:c r="B30" s="18" t="str">
        <x:v>inspector12</x:v>
      </x:c>
      <x:c r="C30" s="18" t="str">
        <x:v>Synthetic Inspector 12</x:v>
      </x:c>
      <x:c r="D30" s="18" t="str">
        <x:v>Eastern Province</x:v>
      </x:c>
      <x:c r="E30" s="18" t="str">
        <x:v>regional</x:v>
      </x:c>
      <x:c r="F30" s="18" t="str">
        <x:v>active</x:v>
      </x:c>
    </x:row>
    <x:row r="31">
      <x:c r="A31" s="18" t="str">
        <x:v>a4000000-0000-4000-8000-000000000013</x:v>
      </x:c>
      <x:c r="B31" s="18" t="str">
        <x:v>inspector13</x:v>
      </x:c>
      <x:c r="C31" s="18" t="str">
        <x:v>Synthetic Inspector 13</x:v>
      </x:c>
      <x:c r="D31" s="18" t="str">
        <x:v>Makkah</x:v>
      </x:c>
      <x:c r="E31" s="18" t="str">
        <x:v>regional</x:v>
      </x:c>
      <x:c r="F31" s="18" t="str">
        <x:v>active</x:v>
      </x:c>
    </x:row>
    <x:row r="32">
      <x:c r="A32" s="18" t="str">
        <x:v>a4000000-0000-4000-8000-000000000014</x:v>
      </x:c>
      <x:c r="B32" s="18" t="str">
        <x:v>inspector14</x:v>
      </x:c>
      <x:c r="C32" s="18" t="str">
        <x:v>Synthetic Inspector 14</x:v>
      </x:c>
      <x:c r="D32" s="18" t="str">
        <x:v>Madinah</x:v>
      </x:c>
      <x:c r="E32" s="18" t="str">
        <x:v>regional</x:v>
      </x:c>
      <x:c r="F32" s="18" t="str">
        <x:v>active</x:v>
      </x:c>
    </x:row>
    <x:row r="33">
      <x:c r="A33" s="18" t="str">
        <x:v>a4000000-0000-4000-8000-000000000015</x:v>
      </x:c>
      <x:c r="B33" s="18" t="str">
        <x:v>inspector15</x:v>
      </x:c>
      <x:c r="C33" s="18" t="str">
        <x:v>Synthetic Inspector 15</x:v>
      </x:c>
      <x:c r="D33" s="18" t="str">
        <x:v>Qassim</x:v>
      </x:c>
      <x:c r="E33" s="18" t="str">
        <x:v>regional</x:v>
      </x:c>
      <x:c r="F33" s="18" t="str">
        <x:v>active</x:v>
      </x:c>
    </x:row>
    <x:row r="34">
      <x:c r="A34" s="18" t="str">
        <x:v>a4000000-0000-4000-8000-000000000016</x:v>
      </x:c>
      <x:c r="B34" s="18" t="str">
        <x:v>inspector16</x:v>
      </x:c>
      <x:c r="C34" s="18" t="str">
        <x:v>Synthetic Inspector 16</x:v>
      </x:c>
      <x:c r="D34" s="18" t="str">
        <x:v>Riyadh</x:v>
      </x:c>
      <x:c r="E34" s="18" t="str">
        <x:v>regional</x:v>
      </x:c>
      <x:c r="F34" s="18" t="str">
        <x:v>active</x:v>
      </x:c>
    </x:row>
    <x:row r="35">
      <x:c r="A35" s="18" t="str">
        <x:v>a4000000-0000-4000-8000-000000000017</x:v>
      </x:c>
      <x:c r="B35" s="18" t="str">
        <x:v>inspector17</x:v>
      </x:c>
      <x:c r="C35" s="18" t="str">
        <x:v>Synthetic Inspector 17</x:v>
      </x:c>
      <x:c r="D35" s="18" t="str">
        <x:v>Eastern Province</x:v>
      </x:c>
      <x:c r="E35" s="18" t="str">
        <x:v>regional</x:v>
      </x:c>
      <x:c r="F35" s="18" t="str">
        <x:v>active</x:v>
      </x:c>
    </x:row>
    <x:row r="36">
      <x:c r="A36" s="18" t="str">
        <x:v>a4000000-0000-4000-8000-000000000018</x:v>
      </x:c>
      <x:c r="B36" s="18" t="str">
        <x:v>inspector18</x:v>
      </x:c>
      <x:c r="C36" s="18" t="str">
        <x:v>Synthetic Inspector 18</x:v>
      </x:c>
      <x:c r="D36" s="18" t="str">
        <x:v>Makkah</x:v>
      </x:c>
      <x:c r="E36" s="18" t="str">
        <x:v>regional</x:v>
      </x:c>
      <x:c r="F36" s="18" t="str">
        <x:v>active</x:v>
      </x:c>
    </x:row>
    <x:row r="37">
      <x:c r="A37" s="18" t="str">
        <x:v>a4000000-0000-4000-8000-000000000019</x:v>
      </x:c>
      <x:c r="B37" s="18" t="str">
        <x:v>inspector19</x:v>
      </x:c>
      <x:c r="C37" s="18" t="str">
        <x:v>Synthetic Inspector 19</x:v>
      </x:c>
      <x:c r="D37" s="18" t="str">
        <x:v>Madinah</x:v>
      </x:c>
      <x:c r="E37" s="18" t="str">
        <x:v>regional</x:v>
      </x:c>
      <x:c r="F37" s="18" t="str">
        <x:v>active</x:v>
      </x:c>
    </x:row>
    <x:row r="38">
      <x:c r="A38" s="18" t="str">
        <x:v>a4000000-0000-4000-8000-000000000020</x:v>
      </x:c>
      <x:c r="B38" s="18" t="str">
        <x:v>inspector20</x:v>
      </x:c>
      <x:c r="C38" s="18" t="str">
        <x:v>Synthetic Inspector 20</x:v>
      </x:c>
      <x:c r="D38" s="18" t="str">
        <x:v>Qassim</x:v>
      </x:c>
      <x:c r="E38" s="18" t="str">
        <x:v>regional</x:v>
      </x:c>
      <x:c r="F38" s="18" t="str">
        <x:v>active</x:v>
      </x:c>
    </x:row>
    <x:row r="39">
      <x:c r="A39" s="18" t="str">
        <x:v>a4000000-0000-4000-8000-000000000021</x:v>
      </x:c>
      <x:c r="B39" s="18" t="str">
        <x:v>inspector21</x:v>
      </x:c>
      <x:c r="C39" s="18" t="str">
        <x:v>Synthetic Inspector 21</x:v>
      </x:c>
      <x:c r="D39" s="18" t="str">
        <x:v>Riyadh</x:v>
      </x:c>
      <x:c r="E39" s="18" t="str">
        <x:v>regional</x:v>
      </x:c>
      <x:c r="F39" s="18" t="str">
        <x:v>active</x:v>
      </x:c>
    </x:row>
    <x:row r="40">
      <x:c r="A40" s="18" t="str">
        <x:v>a4000000-0000-4000-8000-000000000022</x:v>
      </x:c>
      <x:c r="B40" s="18" t="str">
        <x:v>inspector22</x:v>
      </x:c>
      <x:c r="C40" s="18" t="str">
        <x:v>Synthetic Inspector 22</x:v>
      </x:c>
      <x:c r="D40" s="18" t="str">
        <x:v>Eastern Province</x:v>
      </x:c>
      <x:c r="E40" s="18" t="str">
        <x:v>regional</x:v>
      </x:c>
      <x:c r="F40" s="18" t="str">
        <x:v>active</x:v>
      </x:c>
    </x:row>
    <x:row r="41">
      <x:c r="A41" s="18" t="str">
        <x:v>a4000000-0000-4000-8000-000000000023</x:v>
      </x:c>
      <x:c r="B41" s="18" t="str">
        <x:v>inspector23</x:v>
      </x:c>
      <x:c r="C41" s="18" t="str">
        <x:v>Synthetic Inspector 23</x:v>
      </x:c>
      <x:c r="D41" s="18" t="str">
        <x:v>Makkah</x:v>
      </x:c>
      <x:c r="E41" s="18" t="str">
        <x:v>regional</x:v>
      </x:c>
      <x:c r="F41" s="18" t="str">
        <x:v>active</x:v>
      </x:c>
    </x:row>
    <x:row r="42">
      <x:c r="A42" s="18" t="str">
        <x:v>a4000000-0000-4000-8000-000000000024</x:v>
      </x:c>
      <x:c r="B42" s="18" t="str">
        <x:v>inspector24</x:v>
      </x:c>
      <x:c r="C42" s="18" t="str">
        <x:v>Synthetic Inspector 24</x:v>
      </x:c>
      <x:c r="D42" s="18" t="str">
        <x:v>Madinah</x:v>
      </x:c>
      <x:c r="E42" s="18" t="str">
        <x:v>regional</x:v>
      </x:c>
      <x:c r="F42" s="18" t="str">
        <x:v>active</x:v>
      </x:c>
    </x:row>
    <x:row r="43">
      <x:c r="A43" s="18" t="str">
        <x:v>a4000000-0000-4000-8000-000000000025</x:v>
      </x:c>
      <x:c r="B43" s="18" t="str">
        <x:v>inspector25</x:v>
      </x:c>
      <x:c r="C43" s="18" t="str">
        <x:v>Synthetic Inspector 25</x:v>
      </x:c>
      <x:c r="D43" s="18" t="str">
        <x:v>Qassim</x:v>
      </x:c>
      <x:c r="E43" s="18" t="str">
        <x:v>regional</x:v>
      </x:c>
      <x:c r="F43" s="18" t="str">
        <x:v>active</x:v>
      </x:c>
    </x:row>
    <x:row r="44">
      <x:c r="A44" s="18" t="str">
        <x:v>a4000000-0000-4000-8000-000000000026</x:v>
      </x:c>
      <x:c r="B44" s="18" t="str">
        <x:v>inspector26</x:v>
      </x:c>
      <x:c r="C44" s="18" t="str">
        <x:v>Synthetic Inspector 26</x:v>
      </x:c>
      <x:c r="D44" s="18" t="str">
        <x:v>Riyadh</x:v>
      </x:c>
      <x:c r="E44" s="18" t="str">
        <x:v>regional</x:v>
      </x:c>
      <x:c r="F44" s="18" t="str">
        <x:v>active</x:v>
      </x:c>
    </x:row>
    <x:row r="45">
      <x:c r="A45" s="18" t="str">
        <x:v>a4000000-0000-4000-8000-000000000027</x:v>
      </x:c>
      <x:c r="B45" s="18" t="str">
        <x:v>inspector27</x:v>
      </x:c>
      <x:c r="C45" s="18" t="str">
        <x:v>Synthetic Inspector 27</x:v>
      </x:c>
      <x:c r="D45" s="18" t="str">
        <x:v>Eastern Province</x:v>
      </x:c>
      <x:c r="E45" s="18" t="str">
        <x:v>regional</x:v>
      </x:c>
      <x:c r="F45" s="18" t="str">
        <x:v>active</x:v>
      </x:c>
    </x:row>
    <x:row r="46">
      <x:c r="A46" s="18" t="str">
        <x:v>a4000000-0000-4000-8000-000000000028</x:v>
      </x:c>
      <x:c r="B46" s="18" t="str">
        <x:v>inspector28</x:v>
      </x:c>
      <x:c r="C46" s="18" t="str">
        <x:v>Synthetic Inspector 28</x:v>
      </x:c>
      <x:c r="D46" s="18" t="str">
        <x:v>Makkah</x:v>
      </x:c>
      <x:c r="E46" s="18" t="str">
        <x:v>regional</x:v>
      </x:c>
      <x:c r="F46" s="18" t="str">
        <x:v>active</x:v>
      </x:c>
    </x:row>
    <x:row r="47">
      <x:c r="A47" s="18" t="str">
        <x:v>a4000000-0000-4000-8000-000000000029</x:v>
      </x:c>
      <x:c r="B47" s="18" t="str">
        <x:v>inspector29</x:v>
      </x:c>
      <x:c r="C47" s="18" t="str">
        <x:v>Synthetic Inspector 29</x:v>
      </x:c>
      <x:c r="D47" s="18" t="str">
        <x:v>Madinah</x:v>
      </x:c>
      <x:c r="E47" s="18" t="str">
        <x:v>regional</x:v>
      </x:c>
      <x:c r="F47" s="18" t="str">
        <x:v>active</x:v>
      </x:c>
    </x:row>
    <x:row r="48">
      <x:c r="A48" s="18" t="str">
        <x:v>a4000000-0000-4000-8000-000000000030</x:v>
      </x:c>
      <x:c r="B48" s="18" t="str">
        <x:v>inspector30</x:v>
      </x:c>
      <x:c r="C48" s="18" t="str">
        <x:v>Synthetic Inspector 30</x:v>
      </x:c>
      <x:c r="D48" s="18" t="str">
        <x:v>Qassim</x:v>
      </x:c>
      <x:c r="E48" s="18" t="str">
        <x:v>regional</x:v>
      </x:c>
      <x:c r="F48" s="18" t="str">
        <x:v>active</x:v>
      </x:c>
    </x:row>
    <x:row r="49">
      <x:c r="A49" s="18" t="str">
        <x:v>a5000000-0000-4000-8000-000000000001</x:v>
      </x:c>
      <x:c r="B49" s="18" t="str">
        <x:v>multi-role</x:v>
      </x:c>
      <x:c r="C49" s="18" t="str">
        <x:v>ضابط تخطيط ومراجعة تجريبي</x:v>
      </x:c>
      <x:c r="D49" s="18" t="str">
        <x:v>Riyadh</x:v>
      </x:c>
      <x:c r="E49" s="18" t="str">
        <x:v>regional</x:v>
      </x:c>
      <x:c r="F49" s="18" t="str">
        <x:v>active</x:v>
      </x:c>
    </x:row>
    <x:row r="50">
      <x:c r="A50" s="18" t="str">
        <x:v>a6000000-0000-4000-8000-000000000001</x:v>
      </x:c>
      <x:c r="B50" s="18" t="str">
        <x:v>no-workspace</x:v>
      </x:c>
      <x:c r="C50" s="18" t="str">
        <x:v>مستخدم بلا مساحة عمل تجريبي</x:v>
      </x:c>
      <x:c r="D50" s="18" t="str"/>
      <x:c r="E50" s="18" t="str"/>
      <x:c r="F50" s="18" t="str">
        <x:v>active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abbd921d7784b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70000076293945" hidden="0" customWidth="1"/>
    <x:col min="2" max="2" width="13.220000267028809" hidden="0" customWidth="1"/>
    <x:col min="3" max="3" width="16.780000686645508" hidden="0" customWidth="1"/>
    <x:col min="4" max="4" width="12.890000343322754" hidden="0" customWidth="1"/>
    <x:col min="5" max="5" width="7.559999942779541" hidden="0" customWidth="1"/>
    <x:col min="6" max="6" width="9.109999656677246" hidden="0" customWidth="1"/>
    <x:col min="7" max="7" width="10.5600004196167" hidden="0" customWidth="1"/>
    <x:col min="8" max="8" width="22.440000534057617" hidden="0" customWidth="1"/>
    <x:col min="9" max="9" width="11.220000267028809" hidden="0" customWidth="1"/>
  </x:cols>
  <x:sheetData>
    <x:row r="1" ht="28" customHeight="1">
      <x:c r="A1" s="19" t="str">
        <x:v>Establishments</x:v>
      </x:c>
      <x:c r="B1" s="15"/>
      <x:c r="C1" s="15"/>
      <x:c r="D1" s="15"/>
      <x:c r="E1" s="15"/>
      <x:c r="F1" s="15"/>
      <x:c r="G1" s="15"/>
      <x:c r="H1" s="15"/>
      <x:c r="I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  <x:c r="H2" s="16"/>
      <x:c r="I2" s="16"/>
    </x:row>
    <x:row r="3" ht="28" customHeight="1">
      <x:c r="A3" s="17" t="str">
        <x:v>Factory ID</x:v>
      </x:c>
      <x:c r="B3" s="17" t="str">
        <x:v>Factory Code</x:v>
      </x:c>
      <x:c r="C3" s="17" t="str">
        <x:v>Fictitious Name</x:v>
      </x:c>
      <x:c r="D3" s="17" t="str">
        <x:v>Region</x:v>
      </x:c>
      <x:c r="E3" s="17" t="str">
        <x:v>City</x:v>
      </x:c>
      <x:c r="F3" s="17" t="str">
        <x:v>Latitude</x:v>
      </x:c>
      <x:c r="G3" s="17" t="str">
        <x:v>Longitude</x:v>
      </x:c>
      <x:c r="H3" s="17" t="str">
        <x:v>Provenance</x:v>
      </x:c>
      <x:c r="I3" s="17" t="str">
        <x:v>Employees</x:v>
      </x:c>
    </x:row>
    <x:row r="4">
      <x:c r="A4" s="18" t="str">
        <x:v>f1000000-0000-4000-8000-000000000001</x:v>
      </x:c>
      <x:c r="B4" s="18" t="str">
        <x:v>TST-RUH-001</x:v>
      </x:c>
      <x:c r="C4" s="18" t="str">
        <x:v>مصنع نجد للمكونات المعدنية</x:v>
      </x:c>
      <x:c r="D4" s="18" t="str">
        <x:v>Riyadh</x:v>
      </x:c>
      <x:c r="E4" s="18" t="str">
        <x:v>Riyadh</x:v>
      </x:c>
      <x:c r="F4" s="18" t="n">
        <x:v>24.7136</x:v>
      </x:c>
      <x:c r="G4" s="18" t="n">
        <x:v>46.6753</x:v>
      </x:c>
      <x:c r="H4" s="18" t="str">
        <x:v>demo_seed:local-test-data-v1</x:v>
      </x:c>
      <x:c r="I4" s="18" t="n">
        <x:v>185</x:v>
      </x:c>
    </x:row>
    <x:row r="5">
      <x:c r="A5" s="18" t="str">
        <x:v>f1000000-0000-4000-8000-000000000002</x:v>
      </x:c>
      <x:c r="B5" s="18" t="str">
        <x:v>TST-DMM-002</x:v>
      </x:c>
      <x:c r="C5" s="18" t="str">
        <x:v>مصنع الخليج للتغليف الغذائي</x:v>
      </x:c>
      <x:c r="D5" s="18" t="str">
        <x:v>Eastern Province</x:v>
      </x:c>
      <x:c r="E5" s="18" t="str">
        <x:v>Dammam</x:v>
      </x:c>
      <x:c r="F5" s="18" t="n">
        <x:v>26.4207</x:v>
      </x:c>
      <x:c r="G5" s="18" t="n">
        <x:v>50.0888</x:v>
      </x:c>
      <x:c r="H5" s="18" t="str">
        <x:v>demo_seed:local-test-data-v1</x:v>
      </x:c>
      <x:c r="I5" s="18" t="n">
        <x:v>167</x:v>
      </x:c>
    </x:row>
    <x:row r="6">
      <x:c r="A6" s="18" t="str">
        <x:v>f1000000-0000-4000-8000-000000000003</x:v>
      </x:c>
      <x:c r="B6" s="18" t="str">
        <x:v>TST-JED-003</x:v>
      </x:c>
      <x:c r="C6" s="18" t="str">
        <x:v>مصنع البحر الأحمر للكابلات</x:v>
      </x:c>
      <x:c r="D6" s="18" t="str">
        <x:v>Makkah</x:v>
      </x:c>
      <x:c r="E6" s="18" t="str">
        <x:v>Jeddah</x:v>
      </x:c>
      <x:c r="F6" s="18" t="n">
        <x:v>21.4858</x:v>
      </x:c>
      <x:c r="G6" s="18" t="n">
        <x:v>39.1925</x:v>
      </x:c>
      <x:c r="H6" s="18" t="str">
        <x:v>demo_seed:local-test-data-v1</x:v>
      </x:c>
      <x:c r="I6" s="18" t="n">
        <x:v>149</x:v>
      </x:c>
    </x:row>
    <x:row r="7">
      <x:c r="A7" s="18" t="str">
        <x:v>f1000000-0000-4000-8000-000000000004</x:v>
      </x:c>
      <x:c r="B7" s="18" t="str">
        <x:v>TST-MED-004</x:v>
      </x:c>
      <x:c r="C7" s="18" t="str">
        <x:v>مصنع طيبة للمنتجات الزجاجية</x:v>
      </x:c>
      <x:c r="D7" s="18" t="str">
        <x:v>Madinah</x:v>
      </x:c>
      <x:c r="E7" s="18" t="str">
        <x:v>Madinah</x:v>
      </x:c>
      <x:c r="F7" s="18" t="n">
        <x:v>24.5247</x:v>
      </x:c>
      <x:c r="G7" s="18" t="n">
        <x:v>39.5692</x:v>
      </x:c>
      <x:c r="H7" s="18" t="str">
        <x:v>demo_seed:local-test-data-v1</x:v>
      </x:c>
      <x:c r="I7" s="18" t="n">
        <x:v>131</x:v>
      </x:c>
    </x:row>
    <x:row r="8">
      <x:c r="A8" s="18" t="str">
        <x:v>f1000000-0000-4000-8000-000000000005</x:v>
      </x:c>
      <x:c r="B8" s="18" t="str">
        <x:v>TST-QSM-005</x:v>
      </x:c>
      <x:c r="C8" s="18" t="str">
        <x:v>مصنع القصيم للمعدات الزراعية</x:v>
      </x:c>
      <x:c r="D8" s="18" t="str">
        <x:v>Qassim</x:v>
      </x:c>
      <x:c r="E8" s="18" t="str">
        <x:v>Buraydah</x:v>
      </x:c>
      <x:c r="F8" s="18" t="n">
        <x:v>26.3592</x:v>
      </x:c>
      <x:c r="G8" s="18" t="n">
        <x:v>43.9818</x:v>
      </x:c>
      <x:c r="H8" s="18" t="str">
        <x:v>demo_seed:local-test-data-v1</x:v>
      </x:c>
      <x:c r="I8" s="18" t="n">
        <x:v>113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a6ee3e91c801460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670000076293945" hidden="0" customWidth="1"/>
    <x:col min="2" max="2" width="31.670000076293945" hidden="0" customWidth="1"/>
    <x:col min="3" max="3" width="15.4399995803833" hidden="0" customWidth="1"/>
    <x:col min="4" max="4" width="7.670000076293945" hidden="0" customWidth="1"/>
    <x:col min="5" max="5" width="8.670000076293945" hidden="0" customWidth="1"/>
    <x:col min="6" max="6" width="11" hidden="0" customWidth="1"/>
    <x:col min="7" max="7" width="11.670000076293945" hidden="0" customWidth="1"/>
    <x:col min="8" max="8" width="22.440000534057617" hidden="0" customWidth="1"/>
  </x:cols>
  <x:sheetData>
    <x:row r="1" ht="28" customHeight="1">
      <x:c r="A1" s="19" t="str">
        <x:v>Licences</x:v>
      </x:c>
      <x:c r="B1" s="15"/>
      <x:c r="C1" s="15"/>
      <x:c r="D1" s="15"/>
      <x:c r="E1" s="15"/>
      <x:c r="F1" s="15"/>
      <x:c r="G1" s="15"/>
      <x:c r="H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  <x:c r="H2" s="16"/>
    </x:row>
    <x:row r="3" ht="28" customHeight="1">
      <x:c r="A3" s="17" t="str">
        <x:v>Licence ID</x:v>
      </x:c>
      <x:c r="B3" s="17" t="str">
        <x:v>Factory ID</x:v>
      </x:c>
      <x:c r="C3" s="17" t="str">
        <x:v>Licence Number</x:v>
      </x:c>
      <x:c r="D3" s="17" t="str">
        <x:v>Status</x:v>
      </x:c>
      <x:c r="E3" s="17" t="str">
        <x:v>Stage</x:v>
      </x:c>
      <x:c r="F3" s="17" t="str">
        <x:v>Issue Date</x:v>
      </x:c>
      <x:c r="G3" s="17" t="str">
        <x:v>Expiry Date</x:v>
      </x:c>
      <x:c r="H3" s="17" t="str">
        <x:v>Source</x:v>
      </x:c>
    </x:row>
    <x:row r="4">
      <x:c r="A4" s="18" t="str">
        <x:v>f2000000-0000-4000-8000-000000000001</x:v>
      </x:c>
      <x:c r="B4" s="18" t="str">
        <x:v>f1000000-0000-4000-8000-000000000001</x:v>
      </x:c>
      <x:c r="C4" s="18" t="str">
        <x:v>LIC-TST-001</x:v>
      </x:c>
      <x:c r="D4" s="18" t="str">
        <x:v>active</x:v>
      </x:c>
      <x:c r="E4" s="18" t="str">
        <x:v>operational</x:v>
      </x:c>
      <x:c r="F4" s="20" t="n">
        <x:v>44562</x:v>
      </x:c>
      <x:c r="G4" s="20" t="n">
        <x:v>47118</x:v>
      </x:c>
      <x:c r="H4" s="18" t="str">
        <x:v>demo_seed:local-test-data-v1</x:v>
      </x:c>
    </x:row>
    <x:row r="5">
      <x:c r="A5" s="18" t="str">
        <x:v>f2000000-0000-4000-8000-000000000002</x:v>
      </x:c>
      <x:c r="B5" s="18" t="str">
        <x:v>f1000000-0000-4000-8000-000000000002</x:v>
      </x:c>
      <x:c r="C5" s="18" t="str">
        <x:v>LIC-TST-002</x:v>
      </x:c>
      <x:c r="D5" s="18" t="str">
        <x:v>active</x:v>
      </x:c>
      <x:c r="E5" s="18" t="str">
        <x:v>operational</x:v>
      </x:c>
      <x:c r="F5" s="20" t="n">
        <x:v>44562</x:v>
      </x:c>
      <x:c r="G5" s="20" t="n">
        <x:v>47118</x:v>
      </x:c>
      <x:c r="H5" s="18" t="str">
        <x:v>demo_seed:local-test-data-v1</x:v>
      </x:c>
    </x:row>
    <x:row r="6">
      <x:c r="A6" s="18" t="str">
        <x:v>f2000000-0000-4000-8000-000000000003</x:v>
      </x:c>
      <x:c r="B6" s="18" t="str">
        <x:v>f1000000-0000-4000-8000-000000000003</x:v>
      </x:c>
      <x:c r="C6" s="18" t="str">
        <x:v>LIC-TST-003</x:v>
      </x:c>
      <x:c r="D6" s="18" t="str">
        <x:v>active</x:v>
      </x:c>
      <x:c r="E6" s="18" t="str">
        <x:v>operational</x:v>
      </x:c>
      <x:c r="F6" s="20" t="n">
        <x:v>44562</x:v>
      </x:c>
      <x:c r="G6" s="20" t="n">
        <x:v>47118</x:v>
      </x:c>
      <x:c r="H6" s="18" t="str">
        <x:v>demo_seed:local-test-data-v1</x:v>
      </x:c>
    </x:row>
    <x:row r="7">
      <x:c r="A7" s="18" t="str">
        <x:v>f2000000-0000-4000-8000-000000000004</x:v>
      </x:c>
      <x:c r="B7" s="18" t="str">
        <x:v>f1000000-0000-4000-8000-000000000004</x:v>
      </x:c>
      <x:c r="C7" s="18" t="str">
        <x:v>LIC-TST-004</x:v>
      </x:c>
      <x:c r="D7" s="18" t="str">
        <x:v>active</x:v>
      </x:c>
      <x:c r="E7" s="18" t="str">
        <x:v>operational</x:v>
      </x:c>
      <x:c r="F7" s="20" t="n">
        <x:v>44562</x:v>
      </x:c>
      <x:c r="G7" s="20" t="n">
        <x:v>47118</x:v>
      </x:c>
      <x:c r="H7" s="18" t="str">
        <x:v>demo_seed:local-test-data-v1</x:v>
      </x:c>
    </x:row>
    <x:row r="8">
      <x:c r="A8" s="18" t="str">
        <x:v>f2000000-0000-4000-8000-000000000005</x:v>
      </x:c>
      <x:c r="B8" s="18" t="str">
        <x:v>f1000000-0000-4000-8000-000000000005</x:v>
      </x:c>
      <x:c r="C8" s="18" t="str">
        <x:v>LIC-TST-005</x:v>
      </x:c>
      <x:c r="D8" s="18" t="str">
        <x:v>active</x:v>
      </x:c>
      <x:c r="E8" s="18" t="str">
        <x:v>operational</x:v>
      </x:c>
      <x:c r="F8" s="20" t="n">
        <x:v>44562</x:v>
      </x:c>
      <x:c r="G8" s="20" t="n">
        <x:v>47118</x:v>
      </x:c>
      <x:c r="H8" s="18" t="str">
        <x:v>demo_seed:local-test-data-v1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163cbb18d9244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10.5600004196167" hidden="0" customWidth="1"/>
    <x:col min="4" max="4" width="25.110000610351562" hidden="0" customWidth="1"/>
    <x:col min="5" max="5" width="8.4399995803833" hidden="0" customWidth="1"/>
    <x:col min="6" max="6" width="7.670000076293945" hidden="0" customWidth="1"/>
    <x:col min="7" max="7" width="13.109999656677246" hidden="0" customWidth="1"/>
  </x:cols>
  <x:sheetData>
    <x:row r="1" ht="28" customHeight="1">
      <x:c r="A1" s="19" t="str">
        <x:v>Packages Templates</x:v>
      </x:c>
      <x:c r="B1" s="15"/>
      <x:c r="C1" s="15"/>
      <x:c r="D1" s="15"/>
      <x:c r="E1" s="15"/>
      <x:c r="F1" s="15"/>
      <x:c r="G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</x:row>
    <x:row r="3" ht="28" customHeight="1">
      <x:c r="A3" s="17" t="str">
        <x:v>Package ID</x:v>
      </x:c>
      <x:c r="B3" s="17" t="str">
        <x:v>Version ID</x:v>
      </x:c>
      <x:c r="C3" s="17" t="str">
        <x:v>Code</x:v>
      </x:c>
      <x:c r="D3" s="17" t="str">
        <x:v>Title</x:v>
      </x:c>
      <x:c r="E3" s="17" t="str">
        <x:v>Version</x:v>
      </x:c>
      <x:c r="F3" s="17" t="str">
        <x:v>Status</x:v>
      </x:c>
      <x:c r="G3" s="17" t="str">
        <x:v>Item Code</x:v>
      </x:c>
    </x:row>
    <x:row r="4">
      <x:c r="A4" s="18" t="str">
        <x:v>72000000-0000-4000-8000-000000000001</x:v>
      </x:c>
      <x:c r="B4" s="18" t="str">
        <x:v>73000000-0000-4000-8000-000000000001</x:v>
      </x:c>
      <x:c r="C4" s="18" t="str">
        <x:v>TST-PKG-001</x:v>
      </x:c>
      <x:c r="D4" s="18" t="str">
        <x:v>Saudi Industrial Core Inspection 1</x:v>
      </x:c>
      <x:c r="E4" s="18" t="str">
        <x:v>v1</x:v>
      </x:c>
      <x:c r="F4" s="18" t="str">
        <x:v>published</x:v>
      </x:c>
      <x:c r="G4" s="18" t="str">
        <x:v>TST-SAFETY-001</x:v>
      </x:c>
    </x:row>
    <x:row r="5">
      <x:c r="A5" s="18" t="str">
        <x:v>72000000-0000-4000-8000-000000000002</x:v>
      </x:c>
      <x:c r="B5" s="18" t="str">
        <x:v>73000000-0000-4000-8000-000000000002</x:v>
      </x:c>
      <x:c r="C5" s="18" t="str">
        <x:v>TST-PKG-002</x:v>
      </x:c>
      <x:c r="D5" s="18" t="str">
        <x:v>Saudi Industrial Core Inspection 2</x:v>
      </x:c>
      <x:c r="E5" s="18" t="str">
        <x:v>v1</x:v>
      </x:c>
      <x:c r="F5" s="18" t="str">
        <x:v>published</x:v>
      </x:c>
      <x:c r="G5" s="18" t="str">
        <x:v>TST-SAFETY-001</x:v>
      </x:c>
    </x:row>
    <x:row r="6">
      <x:c r="A6" s="18" t="str">
        <x:v>72000000-0000-4000-8000-000000000003</x:v>
      </x:c>
      <x:c r="B6" s="18" t="str">
        <x:v>73000000-0000-4000-8000-000000000003</x:v>
      </x:c>
      <x:c r="C6" s="18" t="str">
        <x:v>TST-PKG-003</x:v>
      </x:c>
      <x:c r="D6" s="18" t="str">
        <x:v>Saudi Industrial Core Inspection 3</x:v>
      </x:c>
      <x:c r="E6" s="18" t="str">
        <x:v>v1</x:v>
      </x:c>
      <x:c r="F6" s="18" t="str">
        <x:v>published</x:v>
      </x:c>
      <x:c r="G6" s="18" t="str">
        <x:v>TST-SAFETY-001</x:v>
      </x:c>
    </x:row>
    <x:row r="7">
      <x:c r="A7" s="18" t="str">
        <x:v>72000000-0000-4000-8000-000000000004</x:v>
      </x:c>
      <x:c r="B7" s="18" t="str">
        <x:v>73000000-0000-4000-8000-000000000004</x:v>
      </x:c>
      <x:c r="C7" s="18" t="str">
        <x:v>TST-PKG-004</x:v>
      </x:c>
      <x:c r="D7" s="18" t="str">
        <x:v>Saudi Industrial Core Inspection 4</x:v>
      </x:c>
      <x:c r="E7" s="18" t="str">
        <x:v>v1</x:v>
      </x:c>
      <x:c r="F7" s="18" t="str">
        <x:v>published</x:v>
      </x:c>
      <x:c r="G7" s="18" t="str">
        <x:v>TST-SAFETY-001</x:v>
      </x:c>
    </x:row>
    <x:row r="8">
      <x:c r="A8" s="18" t="str">
        <x:v>72000000-0000-4000-8000-000000000005</x:v>
      </x:c>
      <x:c r="B8" s="18" t="str">
        <x:v>73000000-0000-4000-8000-000000000005</x:v>
      </x:c>
      <x:c r="C8" s="18" t="str">
        <x:v>TST-PKG-005</x:v>
      </x:c>
      <x:c r="D8" s="18" t="str">
        <x:v>Saudi Industrial Core Inspection 5</x:v>
      </x:c>
      <x:c r="E8" s="18" t="str">
        <x:v>v1</x:v>
      </x:c>
      <x:c r="F8" s="18" t="str">
        <x:v>published</x:v>
      </x:c>
      <x:c r="G8" s="18" t="str">
        <x:v>TST-SAFETY-001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92e33ac651045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4.5600004196167" hidden="0" customWidth="1"/>
    <x:col min="3" max="3" width="8.670000076293945" hidden="0" customWidth="1"/>
    <x:col min="4" max="4" width="7.670000076293945" hidden="0" customWidth="1"/>
    <x:col min="5" max="5" width="17.110000610351562" hidden="0" customWidth="1"/>
    <x:col min="6" max="6" width="19.559999465942383" hidden="0" customWidth="1"/>
    <x:col min="7" max="7" width="8.109999656677246" hidden="0" customWidth="1"/>
  </x:cols>
  <x:sheetData>
    <x:row r="1" ht="28" customHeight="1">
      <x:c r="A1" s="19" t="str">
        <x:v>Plans</x:v>
      </x:c>
      <x:c r="B1" s="15"/>
      <x:c r="C1" s="15"/>
      <x:c r="D1" s="15"/>
      <x:c r="E1" s="15"/>
      <x:c r="F1" s="15"/>
      <x:c r="G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</x:row>
    <x:row r="3" ht="28" customHeight="1">
      <x:c r="A3" s="17" t="str">
        <x:v>Plan ID</x:v>
      </x:c>
      <x:c r="B3" s="17" t="str">
        <x:v>Plan Reference</x:v>
      </x:c>
      <x:c r="C3" s="17" t="str">
        <x:v>Method</x:v>
      </x:c>
      <x:c r="D3" s="17" t="str">
        <x:v>Status</x:v>
      </x:c>
      <x:c r="E3" s="17" t="str">
        <x:v>Planner Username</x:v>
      </x:c>
      <x:c r="F3" s="17" t="str">
        <x:v>Supervisor Username</x:v>
      </x:c>
      <x:c r="G3" s="17" t="str">
        <x:v>Cohort</x:v>
      </x:c>
    </x:row>
    <x:row r="4">
      <x:c r="A4" s="18" t="str">
        <x:v>74000000-0000-4000-8000-000000000001</x:v>
      </x:c>
      <x:c r="B4" s="18" t="str">
        <x:v>QA-PLAN-001</x:v>
      </x:c>
      <x:c r="C4" s="18" t="str">
        <x:v>single</x:v>
      </x:c>
      <x:c r="D4" s="18" t="str">
        <x:v>published</x:v>
      </x:c>
      <x:c r="E4" s="18" t="str">
        <x:v>planner1</x:v>
      </x:c>
      <x:c r="F4" s="18" t="str">
        <x:v>supervisor1</x:v>
      </x:c>
      <x:c r="G4" s="18" t="n">
        <x:v>1</x:v>
      </x:c>
    </x:row>
    <x:row r="5">
      <x:c r="A5" s="18" t="str">
        <x:v>74000000-0000-4000-8000-000000000002</x:v>
      </x:c>
      <x:c r="B5" s="18" t="str">
        <x:v>QA-PLAN-002</x:v>
      </x:c>
      <x:c r="C5" s="18" t="str">
        <x:v>bulk</x:v>
      </x:c>
      <x:c r="D5" s="18" t="str">
        <x:v>published</x:v>
      </x:c>
      <x:c r="E5" s="18" t="str">
        <x:v>planner2</x:v>
      </x:c>
      <x:c r="F5" s="18" t="str">
        <x:v>supervisor2</x:v>
      </x:c>
      <x:c r="G5" s="18" t="n">
        <x:v>2</x:v>
      </x:c>
    </x:row>
    <x:row r="6">
      <x:c r="A6" s="18" t="str">
        <x:v>74000000-0000-4000-8000-000000000003</x:v>
      </x:c>
      <x:c r="B6" s="18" t="str">
        <x:v>QA-PLAN-003</x:v>
      </x:c>
      <x:c r="C6" s="18" t="str">
        <x:v>single</x:v>
      </x:c>
      <x:c r="D6" s="18" t="str">
        <x:v>published</x:v>
      </x:c>
      <x:c r="E6" s="18" t="str">
        <x:v>planner3</x:v>
      </x:c>
      <x:c r="F6" s="18" t="str">
        <x:v>supervisor3</x:v>
      </x:c>
      <x:c r="G6" s="18" t="n">
        <x:v>3</x:v>
      </x:c>
    </x:row>
    <x:row r="7">
      <x:c r="A7" s="18" t="str">
        <x:v>74000000-0000-4000-8000-000000000004</x:v>
      </x:c>
      <x:c r="B7" s="18" t="str">
        <x:v>QA-PLAN-004</x:v>
      </x:c>
      <x:c r="C7" s="18" t="str">
        <x:v>single</x:v>
      </x:c>
      <x:c r="D7" s="18" t="str">
        <x:v>published</x:v>
      </x:c>
      <x:c r="E7" s="18" t="str">
        <x:v>planner4</x:v>
      </x:c>
      <x:c r="F7" s="18" t="str">
        <x:v>supervisor4</x:v>
      </x:c>
      <x:c r="G7" s="18" t="n">
        <x:v>4</x:v>
      </x:c>
    </x:row>
    <x:row r="8">
      <x:c r="A8" s="18" t="str">
        <x:v>74000000-0000-4000-8000-000000000005</x:v>
      </x:c>
      <x:c r="B8" s="18" t="str">
        <x:v>QA-PLAN-005</x:v>
      </x:c>
      <x:c r="C8" s="18" t="str">
        <x:v>single</x:v>
      </x:c>
      <x:c r="D8" s="18" t="str">
        <x:v>published</x:v>
      </x:c>
      <x:c r="E8" s="18" t="str">
        <x:v>planner5</x:v>
      </x:c>
      <x:c r="F8" s="18" t="str">
        <x:v>supervisor5</x:v>
      </x:c>
      <x:c r="G8" s="18" t="n">
        <x:v>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ca60894731d4a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32" hidden="0" customWidth="1"/>
    <x:col min="3" max="3" width="13.779999732971191" hidden="0" customWidth="1"/>
    <x:col min="4" max="4" width="15.220000267028809" hidden="0" customWidth="1"/>
    <x:col min="5" max="5" width="11.779999732971191" hidden="0" customWidth="1"/>
    <x:col min="6" max="6" width="28.440000534057617" hidden="0" customWidth="1"/>
  </x:cols>
  <x:sheetData>
    <x:row r="1" ht="28" customHeight="1">
      <x:c r="A1" s="19" t="str">
        <x:v>Bulk Plans</x:v>
      </x:c>
      <x:c r="B1" s="15"/>
      <x:c r="C1" s="15"/>
      <x:c r="D1" s="15"/>
      <x:c r="E1" s="15"/>
      <x:c r="F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</x:row>
    <x:row r="3" ht="28" customHeight="1">
      <x:c r="A3" s="17" t="str">
        <x:v>Scenario</x:v>
      </x:c>
      <x:c r="B3" s="17" t="str">
        <x:v>Plan ID</x:v>
      </x:c>
      <x:c r="C3" s="17" t="str">
        <x:v>Factory Count</x:v>
      </x:c>
      <x:c r="D3" s="17" t="str">
        <x:v>Inspector Count</x:v>
      </x:c>
      <x:c r="E3" s="17" t="str">
        <x:v>Atomicity</x:v>
      </x:c>
      <x:c r="F3" s="17" t="str">
        <x:v>Purpose</x:v>
      </x:c>
    </x:row>
    <x:row r="4">
      <x:c r="A4" s="18" t="str">
        <x:v>BULK-COHORT-2</x:v>
      </x:c>
      <x:c r="B4" s="18" t="str">
        <x:v>74000000-0000-4000-8000-000000000002</x:v>
      </x:c>
      <x:c r="C4" s="18" t="n">
        <x:v>1</x:v>
      </x:c>
      <x:c r="D4" s="18" t="n">
        <x:v>1</x:v>
      </x:c>
      <x:c r="E4" s="18" t="str">
        <x:v>one transaction</x:v>
      </x:c>
      <x:c r="F4" s="18" t="str">
        <x:v>Representative bulk-planning scenario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6164518d9694e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.670000076293945" hidden="0" customWidth="1"/>
    <x:col min="3" max="3" width="32" hidden="0" customWidth="1"/>
    <x:col min="4" max="4" width="31.670000076293945" hidden="0" customWidth="1"/>
    <x:col min="5" max="5" width="32" hidden="0" customWidth="1"/>
    <x:col min="6" max="6" width="10.220000267028809" hidden="0" customWidth="1"/>
    <x:col min="7" max="7" width="9.109999656677246" hidden="0" customWidth="1"/>
    <x:col min="8" max="8" width="10.5600004196167" hidden="0" customWidth="1"/>
    <x:col min="9" max="9" width="8.670000076293945" hidden="0" customWidth="1"/>
    <x:col min="10" max="10" width="10.109999656677246" hidden="0" customWidth="1"/>
    <x:col min="11" max="11" width="8.109999656677246" hidden="0" customWidth="1"/>
  </x:cols>
  <x:sheetData>
    <x:row r="1" ht="28" customHeight="1">
      <x:c r="A1" s="19" t="str">
        <x:v>Visits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</x:row>
    <x:row r="3" ht="28" customHeight="1">
      <x:c r="A3" s="17" t="str">
        <x:v>Visit ID</x:v>
      </x:c>
      <x:c r="B3" s="17" t="str">
        <x:v>Reference</x:v>
      </x:c>
      <x:c r="C3" s="17" t="str">
        <x:v>Plan ID</x:v>
      </x:c>
      <x:c r="D3" s="17" t="str">
        <x:v>Factory ID</x:v>
      </x:c>
      <x:c r="E3" s="17" t="str">
        <x:v>Package Version ID</x:v>
      </x:c>
      <x:c r="F3" s="17" t="str">
        <x:v>State</x:v>
      </x:c>
      <x:c r="G3" s="17" t="str">
        <x:v>Latitude</x:v>
      </x:c>
      <x:c r="H3" s="17" t="str">
        <x:v>Longitude</x:v>
      </x:c>
      <x:c r="I3" s="17" t="str">
        <x:v>Planner</x:v>
      </x:c>
      <x:c r="J3" s="17" t="str">
        <x:v>Inspector</x:v>
      </x:c>
      <x:c r="K3" s="17" t="str">
        <x:v>Cohort</x:v>
      </x:c>
    </x:row>
    <x:row r="4">
      <x:c r="A4" s="18" t="str">
        <x:v>75000000-0000-4000-8000-000000000001</x:v>
      </x:c>
      <x:c r="B4" s="18" t="str">
        <x:v>QA-VISIT-001</x:v>
      </x:c>
      <x:c r="C4" s="18" t="str">
        <x:v>74000000-0000-4000-8000-000000000001</x:v>
      </x:c>
      <x:c r="D4" s="18" t="str">
        <x:v>f1000000-0000-4000-8000-000000000001</x:v>
      </x:c>
      <x:c r="E4" s="18" t="str">
        <x:v>73000000-0000-4000-8000-000000000001</x:v>
      </x:c>
      <x:c r="F4" s="18" t="str">
        <x:v>prepared</x:v>
      </x:c>
      <x:c r="G4" s="18" t="n">
        <x:v>24.7136</x:v>
      </x:c>
      <x:c r="H4" s="18" t="n">
        <x:v>46.6753</x:v>
      </x:c>
      <x:c r="I4" s="18" t="str">
        <x:v>planner1</x:v>
      </x:c>
      <x:c r="J4" s="18" t="str">
        <x:v>inspector1</x:v>
      </x:c>
      <x:c r="K4" s="18" t="n">
        <x:v>1</x:v>
      </x:c>
    </x:row>
    <x:row r="5">
      <x:c r="A5" s="18" t="str">
        <x:v>75000000-0000-4000-8000-000000000002</x:v>
      </x:c>
      <x:c r="B5" s="18" t="str">
        <x:v>QA-VISIT-002</x:v>
      </x:c>
      <x:c r="C5" s="18" t="str">
        <x:v>74000000-0000-4000-8000-000000000002</x:v>
      </x:c>
      <x:c r="D5" s="18" t="str">
        <x:v>f1000000-0000-4000-8000-000000000002</x:v>
      </x:c>
      <x:c r="E5" s="18" t="str">
        <x:v>73000000-0000-4000-8000-000000000002</x:v>
      </x:c>
      <x:c r="F5" s="18" t="str">
        <x:v>on_the_way</x:v>
      </x:c>
      <x:c r="G5" s="18" t="n">
        <x:v>26.4207</x:v>
      </x:c>
      <x:c r="H5" s="18" t="n">
        <x:v>50.0888</x:v>
      </x:c>
      <x:c r="I5" s="18" t="str">
        <x:v>planner2</x:v>
      </x:c>
      <x:c r="J5" s="18" t="str">
        <x:v>inspector2</x:v>
      </x:c>
      <x:c r="K5" s="18" t="n">
        <x:v>2</x:v>
      </x:c>
    </x:row>
    <x:row r="6">
      <x:c r="A6" s="18" t="str">
        <x:v>75000000-0000-4000-8000-000000000003</x:v>
      </x:c>
      <x:c r="B6" s="18" t="str">
        <x:v>QA-VISIT-003</x:v>
      </x:c>
      <x:c r="C6" s="18" t="str">
        <x:v>74000000-0000-4000-8000-000000000003</x:v>
      </x:c>
      <x:c r="D6" s="18" t="str">
        <x:v>f1000000-0000-4000-8000-000000000003</x:v>
      </x:c>
      <x:c r="E6" s="18" t="str">
        <x:v>73000000-0000-4000-8000-000000000003</x:v>
      </x:c>
      <x:c r="F6" s="18" t="str">
        <x:v>executing</x:v>
      </x:c>
      <x:c r="G6" s="18" t="n">
        <x:v>21.4858</x:v>
      </x:c>
      <x:c r="H6" s="18" t="n">
        <x:v>39.1925</x:v>
      </x:c>
      <x:c r="I6" s="18" t="str">
        <x:v>planner3</x:v>
      </x:c>
      <x:c r="J6" s="18" t="str">
        <x:v>inspector3</x:v>
      </x:c>
      <x:c r="K6" s="18" t="n">
        <x:v>3</x:v>
      </x:c>
    </x:row>
    <x:row r="7">
      <x:c r="A7" s="18" t="str">
        <x:v>75000000-0000-4000-8000-000000000004</x:v>
      </x:c>
      <x:c r="B7" s="18" t="str">
        <x:v>QA-VISIT-004</x:v>
      </x:c>
      <x:c r="C7" s="18" t="str">
        <x:v>74000000-0000-4000-8000-000000000004</x:v>
      </x:c>
      <x:c r="D7" s="18" t="str">
        <x:v>f1000000-0000-4000-8000-000000000004</x:v>
      </x:c>
      <x:c r="E7" s="18" t="str">
        <x:v>73000000-0000-4000-8000-000000000004</x:v>
      </x:c>
      <x:c r="F7" s="18" t="str">
        <x:v>under_review</x:v>
      </x:c>
      <x:c r="G7" s="18" t="n">
        <x:v>24.5247</x:v>
      </x:c>
      <x:c r="H7" s="18" t="n">
        <x:v>39.5692</x:v>
      </x:c>
      <x:c r="I7" s="18" t="str">
        <x:v>planner4</x:v>
      </x:c>
      <x:c r="J7" s="18" t="str">
        <x:v>inspector4</x:v>
      </x:c>
      <x:c r="K7" s="18" t="n">
        <x:v>4</x:v>
      </x:c>
    </x:row>
    <x:row r="8">
      <x:c r="A8" s="18" t="str">
        <x:v>75000000-0000-4000-8000-000000000005</x:v>
      </x:c>
      <x:c r="B8" s="18" t="str">
        <x:v>QA-VISIT-005</x:v>
      </x:c>
      <x:c r="C8" s="18" t="str">
        <x:v>74000000-0000-4000-8000-000000000005</x:v>
      </x:c>
      <x:c r="D8" s="18" t="str">
        <x:v>f1000000-0000-4000-8000-000000000005</x:v>
      </x:c>
      <x:c r="E8" s="18" t="str">
        <x:v>73000000-0000-4000-8000-000000000005</x:v>
      </x:c>
      <x:c r="F8" s="18" t="str">
        <x:v>under_review</x:v>
      </x:c>
      <x:c r="G8" s="18" t="n">
        <x:v>26.3592</x:v>
      </x:c>
      <x:c r="H8" s="18" t="n">
        <x:v>43.9818</x:v>
      </x:c>
      <x:c r="I8" s="18" t="str">
        <x:v>planner5</x:v>
      </x:c>
      <x:c r="J8" s="18" t="str">
        <x:v>inspector5</x:v>
      </x:c>
      <x:c r="K8" s="18" t="n">
        <x:v>5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d2d9f9b56ff540a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8.670000076293945" hidden="0" customWidth="1"/>
    <x:col min="5" max="5" width="7.670000076293945" hidden="0" customWidth="1"/>
    <x:col min="6" max="6" width="8.109999656677246" hidden="0" customWidth="1"/>
  </x:cols>
  <x:sheetData>
    <x:row r="1" ht="28" customHeight="1">
      <x:c r="A1" s="19" t="str">
        <x:v>Assignments</x:v>
      </x:c>
      <x:c r="B1" s="15"/>
      <x:c r="C1" s="15"/>
      <x:c r="D1" s="15"/>
      <x:c r="E1" s="15"/>
      <x:c r="F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</x:row>
    <x:row r="3" ht="28" customHeight="1">
      <x:c r="A3" s="17" t="str">
        <x:v>Assignment ID</x:v>
      </x:c>
      <x:c r="B3" s="17" t="str">
        <x:v>Visit ID</x:v>
      </x:c>
      <x:c r="C3" s="17" t="str">
        <x:v>Inspector User ID</x:v>
      </x:c>
      <x:c r="D3" s="17" t="str">
        <x:v>Method</x:v>
      </x:c>
      <x:c r="E3" s="17" t="str">
        <x:v>Status</x:v>
      </x:c>
      <x:c r="F3" s="17" t="str">
        <x:v>Cohort</x:v>
      </x:c>
    </x:row>
    <x:row r="4">
      <x:c r="A4" s="18" t="str">
        <x:v>76000000-0000-4000-8000-000000000001</x:v>
      </x:c>
      <x:c r="B4" s="18" t="str">
        <x:v>75000000-0000-4000-8000-000000000001</x:v>
      </x:c>
      <x:c r="C4" s="18" t="str">
        <x:v>a4000000-0000-4000-8000-000000000001</x:v>
      </x:c>
      <x:c r="D4" s="18" t="str">
        <x:v>manual</x:v>
      </x:c>
      <x:c r="E4" s="18" t="str">
        <x:v>assigned</x:v>
      </x:c>
      <x:c r="F4" s="18" t="n">
        <x:v>1</x:v>
      </x:c>
    </x:row>
    <x:row r="5">
      <x:c r="A5" s="18" t="str">
        <x:v>76000000-0000-4000-8000-000000000002</x:v>
      </x:c>
      <x:c r="B5" s="18" t="str">
        <x:v>75000000-0000-4000-8000-000000000002</x:v>
      </x:c>
      <x:c r="C5" s="18" t="str">
        <x:v>a4000000-0000-4000-8000-000000000002</x:v>
      </x:c>
      <x:c r="D5" s="18" t="str">
        <x:v>manual</x:v>
      </x:c>
      <x:c r="E5" s="18" t="str">
        <x:v>accepted</x:v>
      </x:c>
      <x:c r="F5" s="18" t="n">
        <x:v>2</x:v>
      </x:c>
    </x:row>
    <x:row r="6">
      <x:c r="A6" s="18" t="str">
        <x:v>76000000-0000-4000-8000-000000000003</x:v>
      </x:c>
      <x:c r="B6" s="18" t="str">
        <x:v>75000000-0000-4000-8000-000000000003</x:v>
      </x:c>
      <x:c r="C6" s="18" t="str">
        <x:v>a4000000-0000-4000-8000-000000000003</x:v>
      </x:c>
      <x:c r="D6" s="18" t="str">
        <x:v>manual</x:v>
      </x:c>
      <x:c r="E6" s="18" t="str">
        <x:v>accepted</x:v>
      </x:c>
      <x:c r="F6" s="18" t="n">
        <x:v>3</x:v>
      </x:c>
    </x:row>
    <x:row r="7">
      <x:c r="A7" s="18" t="str">
        <x:v>76000000-0000-4000-8000-000000000004</x:v>
      </x:c>
      <x:c r="B7" s="18" t="str">
        <x:v>75000000-0000-4000-8000-000000000004</x:v>
      </x:c>
      <x:c r="C7" s="18" t="str">
        <x:v>a4000000-0000-4000-8000-000000000004</x:v>
      </x:c>
      <x:c r="D7" s="18" t="str">
        <x:v>manual</x:v>
      </x:c>
      <x:c r="E7" s="18" t="str">
        <x:v>accepted</x:v>
      </x:c>
      <x:c r="F7" s="18" t="n">
        <x:v>4</x:v>
      </x:c>
    </x:row>
    <x:row r="8">
      <x:c r="A8" s="18" t="str">
        <x:v>76000000-0000-4000-8000-000000000005</x:v>
      </x:c>
      <x:c r="B8" s="18" t="str">
        <x:v>75000000-0000-4000-8000-000000000005</x:v>
      </x:c>
      <x:c r="C8" s="18" t="str">
        <x:v>a4000000-0000-4000-8000-000000000005</x:v>
      </x:c>
      <x:c r="D8" s="18" t="str">
        <x:v>manual</x:v>
      </x:c>
      <x:c r="E8" s="18" t="str">
        <x:v>accepted</x:v>
      </x:c>
      <x:c r="F8" s="18" t="n">
        <x:v>5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f8f3d541efa4e8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10.220000267028809" hidden="0" customWidth="1"/>
    <x:col min="5" max="5" width="15.4399995803833" hidden="0" customWidth="1"/>
    <x:col min="6" max="6" width="10.220000267028809" hidden="0" customWidth="1"/>
    <x:col min="7" max="7" width="8.109999656677246" hidden="0" customWidth="1"/>
  </x:cols>
  <x:sheetData>
    <x:row r="1" ht="28" customHeight="1">
      <x:c r="A1" s="19" t="str">
        <x:v>Inspection Data</x:v>
      </x:c>
      <x:c r="B1" s="15"/>
      <x:c r="C1" s="15"/>
      <x:c r="D1" s="15"/>
      <x:c r="E1" s="15"/>
      <x:c r="F1" s="15"/>
      <x:c r="G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</x:row>
    <x:row r="3" ht="28" customHeight="1">
      <x:c r="A3" s="17" t="str">
        <x:v>Inspection ID</x:v>
      </x:c>
      <x:c r="B3" s="17" t="str">
        <x:v>Visit ID</x:v>
      </x:c>
      <x:c r="C3" s="17" t="str">
        <x:v>Package Version ID</x:v>
      </x:c>
      <x:c r="D3" s="17" t="str">
        <x:v>Lifecycle</x:v>
      </x:c>
      <x:c r="E3" s="17" t="str">
        <x:v>Response</x:v>
      </x:c>
      <x:c r="F3" s="17" t="str">
        <x:v>Complete</x:v>
      </x:c>
      <x:c r="G3" s="17" t="str">
        <x:v>Cohort</x:v>
      </x:c>
    </x:row>
    <x:row r="4">
      <x:c r="A4" s="18" t="str">
        <x:v>77000000-0000-4000-8000-000000000003</x:v>
      </x:c>
      <x:c r="B4" s="18" t="str">
        <x:v>75000000-0000-4000-8000-000000000003</x:v>
      </x:c>
      <x:c r="C4" s="18" t="str">
        <x:v>73000000-0000-4000-8000-000000000003</x:v>
      </x:c>
      <x:c r="D4" s="18" t="str">
        <x:v>in_progress</x:v>
      </x:c>
      <x:c r="E4" s="18" t="str">
        <x:v>compliant</x:v>
      </x:c>
      <x:c r="F4" s="21" t="b">
        <x:v>1</x:v>
      </x:c>
      <x:c r="G4" s="18" t="n">
        <x:v>3</x:v>
      </x:c>
    </x:row>
    <x:row r="5">
      <x:c r="A5" s="18" t="str">
        <x:v>77000000-0000-4000-8000-000000000004</x:v>
      </x:c>
      <x:c r="B5" s="18" t="str">
        <x:v>75000000-0000-4000-8000-000000000004</x:v>
      </x:c>
      <x:c r="C5" s="18" t="str">
        <x:v>73000000-0000-4000-8000-000000000004</x:v>
      </x:c>
      <x:c r="D5" s="18" t="str">
        <x:v>approved</x:v>
      </x:c>
      <x:c r="E5" s="18" t="str">
        <x:v>compliant_corrected</x:v>
      </x:c>
      <x:c r="F5" s="21" t="b">
        <x:v>1</x:v>
      </x:c>
      <x:c r="G5" s="18" t="n">
        <x:v>4</x:v>
      </x:c>
    </x:row>
    <x:row r="6">
      <x:c r="A6" s="18" t="str">
        <x:v>77000000-0000-4000-8000-000000000005</x:v>
      </x:c>
      <x:c r="B6" s="18" t="str">
        <x:v>75000000-0000-4000-8000-000000000005</x:v>
      </x:c>
      <x:c r="C6" s="18" t="str">
        <x:v>73000000-0000-4000-8000-000000000005</x:v>
      </x:c>
      <x:c r="D6" s="18" t="str">
        <x:v>under_review</x:v>
      </x:c>
      <x:c r="E6" s="18" t="str">
        <x:v>compliant</x:v>
      </x:c>
      <x:c r="F6" s="21" t="b">
        <x:v>1</x:v>
      </x:c>
      <x:c r="G6" s="18" t="n">
        <x:v>5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3fbc7dd90644f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32" hidden="0" customWidth="1"/>
    <x:col min="3" max="3" width="32" hidden="0" customWidth="1"/>
    <x:col min="4" max="4" width="32" hidden="0" customWidth="1"/>
    <x:col min="5" max="5" width="9" hidden="0" customWidth="1"/>
    <x:col min="6" max="6" width="16" hidden="0" customWidth="1"/>
  </x:cols>
  <x:sheetData>
    <x:row r="1" ht="28" customHeight="1">
      <x:c r="A1" s="19" t="str">
        <x:v>Findings Reports Evidence</x:v>
      </x:c>
      <x:c r="B1" s="15"/>
      <x:c r="C1" s="15"/>
      <x:c r="D1" s="15"/>
      <x:c r="E1" s="15"/>
      <x:c r="F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</x:row>
    <x:row r="3" ht="28" customHeight="1">
      <x:c r="A3" s="17" t="str">
        <x:v>Record Type</x:v>
      </x:c>
      <x:c r="B3" s="17" t="str">
        <x:v>Record ID</x:v>
      </x:c>
      <x:c r="C3" s="17" t="str">
        <x:v>Inspection ID</x:v>
      </x:c>
      <x:c r="D3" s="17" t="str">
        <x:v>Description / Path</x:v>
      </x:c>
      <x:c r="E3" s="17" t="str">
        <x:v>Severity</x:v>
      </x:c>
      <x:c r="F3" s="17" t="str">
        <x:v>SHA-256 / Status</x:v>
      </x:c>
    </x:row>
    <x:row r="4">
      <x:c r="A4" s="18" t="str">
        <x:v>Finding</x:v>
      </x:c>
      <x:c r="B4" s="18" t="str">
        <x:v>79000000-0000-4000-8000-000000000004</x:v>
      </x:c>
      <x:c r="C4" s="18" t="str">
        <x:v>77000000-0000-4000-8000-000000000004</x:v>
      </x:c>
      <x:c r="D4" s="18" t="str">
        <x:v>Fictitious obstruction documented for correction.</x:v>
      </x:c>
      <x:c r="E4" s="18" t="str">
        <x:v>minor</x:v>
      </x:c>
      <x:c r="F4" s="18" t="str">
        <x:v>recorded</x:v>
      </x:c>
    </x:row>
    <x:row r="5">
      <x:c r="A5" s="18" t="str">
        <x:v>Evidence metadata</x:v>
      </x:c>
      <x:c r="B5" s="18" t="str">
        <x:v>7a000000-0000-4000-8000-000000000004</x:v>
      </x:c>
      <x:c r="C5" s="18" t="str">
        <x:v>77000000-0000-4000-8000-000000000004</x:v>
      </x:c>
      <x:c r="D5" s="18" t="str">
        <x:v>local-test-data-v1/cohort-4/finding-photo.jpg</x:v>
      </x:c>
      <x:c r="E5" s="18" t="str">
        <x:v>n/a</x:v>
      </x:c>
      <x:c r="F5" s="18" t="str">
        <x:v>4444444444444444444444444444444444444444444444444444444444444444</x:v>
      </x:c>
    </x:row>
    <x:row r="6">
      <x:c r="A6" s="18" t="str">
        <x:v>Submission version</x:v>
      </x:c>
      <x:c r="B6" s="18" t="str">
        <x:v>local-test-data-v1-cohort4-v1</x:v>
      </x:c>
      <x:c r="C6" s="18" t="str">
        <x:v>77000000-0000-4000-8000-000000000004</x:v>
      </x:c>
      <x:c r="D6" s="18" t="str">
        <x:v>Initial immutable submission snapshot</x:v>
      </x:c>
      <x:c r="E6" s="18" t="str">
        <x:v>v1</x:v>
      </x:c>
      <x:c r="F6" s="18" t="str">
        <x:v>immutable</x:v>
      </x:c>
    </x:row>
    <x:row r="7">
      <x:c r="A7" s="18" t="str">
        <x:v>Review</x:v>
      </x:c>
      <x:c r="B7" s="18" t="str">
        <x:v>cohort4-v1-return</x:v>
      </x:c>
      <x:c r="C7" s="18" t="str">
        <x:v>77000000-0000-4000-8000-000000000004</x:v>
      </x:c>
      <x:c r="D7" s="18" t="str">
        <x:v>Supervisor returned safety section for correction</x:v>
      </x:c>
      <x:c r="E7" s="18" t="str">
        <x:v>v1</x:v>
      </x:c>
      <x:c r="F7" s="18" t="str">
        <x:v>returned</x:v>
      </x:c>
    </x:row>
    <x:row r="8">
      <x:c r="A8" s="18" t="str">
        <x:v>Submission version</x:v>
      </x:c>
      <x:c r="B8" s="18" t="str">
        <x:v>local-test-data-v1-cohort4-v2</x:v>
      </x:c>
      <x:c r="C8" s="18" t="str">
        <x:v>77000000-0000-4000-8000-000000000004</x:v>
      </x:c>
      <x:c r="D8" s="18" t="str">
        <x:v>Corrected immutable submission snapshot</x:v>
      </x:c>
      <x:c r="E8" s="18" t="str">
        <x:v>v2</x:v>
      </x:c>
      <x:c r="F8" s="18" t="str">
        <x:v>immutable</x:v>
      </x:c>
    </x:row>
    <x:row r="9">
      <x:c r="A9" s="18" t="str">
        <x:v>Review</x:v>
      </x:c>
      <x:c r="B9" s="18" t="str">
        <x:v>cohort4-v2-approve</x:v>
      </x:c>
      <x:c r="C9" s="18" t="str">
        <x:v>77000000-0000-4000-8000-000000000004</x:v>
      </x:c>
      <x:c r="D9" s="18" t="str">
        <x:v>Supervisor approved corrected submission</x:v>
      </x:c>
      <x:c r="E9" s="18" t="str">
        <x:v>v2</x:v>
      </x:c>
      <x:c r="F9" s="18" t="str">
        <x:v>approved</x:v>
      </x:c>
    </x:row>
    <x:row r="10">
      <x:c r="A10" s="18" t="str">
        <x:v>Submission version</x:v>
      </x:c>
      <x:c r="B10" s="18" t="str">
        <x:v>local-test-data-v1-cohort5-v1</x:v>
      </x:c>
      <x:c r="C10" s="18" t="str">
        <x:v>77000000-0000-4000-8000-000000000005</x:v>
      </x:c>
      <x:c r="D10" s="18" t="str">
        <x:v>Review-ready immutable submission snapshot</x:v>
      </x:c>
      <x:c r="E10" s="18" t="str">
        <x:v>v1</x:v>
      </x:c>
      <x:c r="F10" s="18" t="str">
        <x:v>immutable</x:v>
      </x:c>
    </x:row>
    <x:row r="11">
      <x:c r="A11" s="18" t="str">
        <x:v>Review</x:v>
      </x:c>
      <x:c r="B11" s="18" t="str">
        <x:v>cohort5-v1-pending</x:v>
      </x:c>
      <x:c r="C11" s="18" t="str">
        <x:v>77000000-0000-4000-8000-000000000005</x:v>
      </x:c>
      <x:c r="D11" s="18" t="str">
        <x:v>Open supervisor review</x:v>
      </x:c>
      <x:c r="E11" s="18" t="str">
        <x:v>v1</x:v>
      </x:c>
      <x:c r="F11" s="18" t="str">
        <x:v>under_review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36f85e03b0642e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109999656677246" hidden="0" customWidth="1"/>
    <x:col min="2" max="2" width="7.670000076293945" hidden="0" customWidth="1"/>
    <x:col min="3" max="3" width="8.670000076293945" hidden="0" customWidth="1"/>
    <x:col min="4" max="4" width="11.109999656677246" hidden="0" customWidth="1"/>
    <x:col min="5" max="5" width="10.109999656677246" hidden="0" customWidth="1"/>
    <x:col min="6" max="6" width="31.670000076293945" hidden="0" customWidth="1"/>
    <x:col min="7" max="7" width="32" hidden="0" customWidth="1"/>
    <x:col min="8" max="8" width="32" hidden="0" customWidth="1"/>
    <x:col min="9" max="9" width="22.110000610351562" hidden="0" customWidth="1"/>
  </x:cols>
  <x:sheetData>
    <x:row r="1" ht="28" customHeight="1">
      <x:c r="A1" s="19" t="str">
        <x:v>Relationship Matrix</x:v>
      </x:c>
      <x:c r="B1" s="15"/>
      <x:c r="C1" s="15"/>
      <x:c r="D1" s="15"/>
      <x:c r="E1" s="15"/>
      <x:c r="F1" s="15"/>
      <x:c r="G1" s="15"/>
      <x:c r="H1" s="15"/>
      <x:c r="I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  <x:c r="F2" s="16"/>
      <x:c r="G2" s="16"/>
      <x:c r="H2" s="16"/>
      <x:c r="I2" s="16"/>
    </x:row>
    <x:row r="3" ht="28" customHeight="1">
      <x:c r="A3" s="17" t="str">
        <x:v>Cohort</x:v>
      </x:c>
      <x:c r="B3" s="17" t="str">
        <x:v>Admin</x:v>
      </x:c>
      <x:c r="C3" s="17" t="str">
        <x:v>Planner</x:v>
      </x:c>
      <x:c r="D3" s="17" t="str">
        <x:v>Supervisor</x:v>
      </x:c>
      <x:c r="E3" s="17" t="str">
        <x:v>Inspector</x:v>
      </x:c>
      <x:c r="F3" s="17" t="str">
        <x:v>Factory</x:v>
      </x:c>
      <x:c r="G3" s="17" t="str">
        <x:v>Plan</x:v>
      </x:c>
      <x:c r="H3" s="17" t="str">
        <x:v>Visit</x:v>
      </x:c>
      <x:c r="I3" s="17" t="str">
        <x:v>Scenario</x:v>
      </x:c>
    </x:row>
    <x:row r="4">
      <x:c r="A4" s="18" t="n">
        <x:v>1</x:v>
      </x:c>
      <x:c r="B4" s="18" t="str">
        <x:v>admin1</x:v>
      </x:c>
      <x:c r="C4" s="18" t="str">
        <x:v>planner1</x:v>
      </x:c>
      <x:c r="D4" s="18" t="str">
        <x:v>supervisor1</x:v>
      </x:c>
      <x:c r="E4" s="18" t="str">
        <x:v>inspector1</x:v>
      </x:c>
      <x:c r="F4" s="18" t="str">
        <x:v>f1000000-0000-4000-8000-000000000001</x:v>
      </x:c>
      <x:c r="G4" s="18" t="str">
        <x:v>74000000-0000-4000-8000-000000000001</x:v>
      </x:c>
      <x:c r="H4" s="18" t="str">
        <x:v>75000000-0000-4000-8000-000000000001</x:v>
      </x:c>
      <x:c r="I4" s="18" t="str">
        <x:v>scheduled</x:v>
      </x:c>
    </x:row>
    <x:row r="5">
      <x:c r="A5" s="18" t="n">
        <x:v>2</x:v>
      </x:c>
      <x:c r="B5" s="18" t="str">
        <x:v>admin2</x:v>
      </x:c>
      <x:c r="C5" s="18" t="str">
        <x:v>planner2</x:v>
      </x:c>
      <x:c r="D5" s="18" t="str">
        <x:v>supervisor2</x:v>
      </x:c>
      <x:c r="E5" s="18" t="str">
        <x:v>inspector2</x:v>
      </x:c>
      <x:c r="F5" s="18" t="str">
        <x:v>f1000000-0000-4000-8000-000000000002</x:v>
      </x:c>
      <x:c r="G5" s="18" t="str">
        <x:v>74000000-0000-4000-8000-000000000002</x:v>
      </x:c>
      <x:c r="H5" s="18" t="str">
        <x:v>75000000-0000-4000-8000-000000000002</x:v>
      </x:c>
      <x:c r="I5" s="18" t="str">
        <x:v>assigned_travel</x:v>
      </x:c>
    </x:row>
    <x:row r="6">
      <x:c r="A6" s="18" t="n">
        <x:v>3</x:v>
      </x:c>
      <x:c r="B6" s="18" t="str">
        <x:v>admin3</x:v>
      </x:c>
      <x:c r="C6" s="18" t="str">
        <x:v>planner3</x:v>
      </x:c>
      <x:c r="D6" s="18" t="str">
        <x:v>supervisor3</x:v>
      </x:c>
      <x:c r="E6" s="18" t="str">
        <x:v>inspector3</x:v>
      </x:c>
      <x:c r="F6" s="18" t="str">
        <x:v>f1000000-0000-4000-8000-000000000003</x:v>
      </x:c>
      <x:c r="G6" s="18" t="str">
        <x:v>74000000-0000-4000-8000-000000000003</x:v>
      </x:c>
      <x:c r="H6" s="18" t="str">
        <x:v>75000000-0000-4000-8000-000000000003</x:v>
      </x:c>
      <x:c r="I6" s="18" t="str">
        <x:v>checked_in_executing</x:v>
      </x:c>
    </x:row>
    <x:row r="7">
      <x:c r="A7" s="18" t="n">
        <x:v>4</x:v>
      </x:c>
      <x:c r="B7" s="18" t="str">
        <x:v>admin4</x:v>
      </x:c>
      <x:c r="C7" s="18" t="str">
        <x:v>planner4</x:v>
      </x:c>
      <x:c r="D7" s="18" t="str">
        <x:v>supervisor4</x:v>
      </x:c>
      <x:c r="E7" s="18" t="str">
        <x:v>inspector4</x:v>
      </x:c>
      <x:c r="F7" s="18" t="str">
        <x:v>f1000000-0000-4000-8000-000000000004</x:v>
      </x:c>
      <x:c r="G7" s="18" t="str">
        <x:v>74000000-0000-4000-8000-000000000004</x:v>
      </x:c>
      <x:c r="H7" s="18" t="str">
        <x:v>75000000-0000-4000-8000-000000000004</x:v>
      </x:c>
      <x:c r="I7" s="18" t="str">
        <x:v>returned_corrected_approved</x:v>
      </x:c>
    </x:row>
    <x:row r="8">
      <x:c r="A8" s="18" t="n">
        <x:v>5</x:v>
      </x:c>
      <x:c r="B8" s="18" t="str">
        <x:v>admin5</x:v>
      </x:c>
      <x:c r="C8" s="18" t="str">
        <x:v>planner5</x:v>
      </x:c>
      <x:c r="D8" s="18" t="str">
        <x:v>supervisor5</x:v>
      </x:c>
      <x:c r="E8" s="18" t="str">
        <x:v>inspector5</x:v>
      </x:c>
      <x:c r="F8" s="18" t="str">
        <x:v>f1000000-0000-4000-8000-000000000005</x:v>
      </x:c>
      <x:c r="G8" s="18" t="str">
        <x:v>74000000-0000-4000-8000-000000000005</x:v>
      </x:c>
      <x:c r="H8" s="18" t="str">
        <x:v>75000000-0000-4000-8000-000000000005</x:v>
      </x:c>
      <x:c r="I8" s="18" t="str">
        <x:v>submitted_under_review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1dbcf21eb74443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.220000267028809" hidden="0" customWidth="1"/>
    <x:col min="3" max="3" width="11.890000343322754" hidden="0" customWidth="1"/>
    <x:col min="4" max="4" width="16.329999923706055" hidden="0" customWidth="1"/>
    <x:col min="5" max="5" width="32" hidden="0" customWidth="1"/>
  </x:cols>
  <x:sheetData>
    <x:row r="1" ht="28" customHeight="1">
      <x:c r="A1" s="19" t="str">
        <x:v>Data Dictionary</x:v>
      </x:c>
      <x:c r="B1" s="15"/>
      <x:c r="C1" s="15"/>
      <x:c r="D1" s="15"/>
      <x:c r="E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  <x:c r="E2" s="16"/>
    </x:row>
    <x:row r="3" ht="28" customHeight="1">
      <x:c r="A3" s="17" t="str">
        <x:v>Sheet</x:v>
      </x:c>
      <x:c r="B3" s="17" t="str">
        <x:v>Field</x:v>
      </x:c>
      <x:c r="C3" s="17" t="str">
        <x:v>Type</x:v>
      </x:c>
      <x:c r="D3" s="17" t="str">
        <x:v>Required</x:v>
      </x:c>
      <x:c r="E3" s="17" t="str">
        <x:v>Definition</x:v>
      </x:c>
    </x:row>
    <x:row r="4">
      <x:c r="A4" s="18" t="str">
        <x:v>Accounts</x:v>
      </x:c>
      <x:c r="B4" s="18" t="str">
        <x:v>Username</x:v>
      </x:c>
      <x:c r="C4" s="18" t="str">
        <x:v>text</x:v>
      </x:c>
      <x:c r="D4" s="18" t="str">
        <x:v>Yes</x:v>
      </x:c>
      <x:c r="E4" s="18" t="str">
        <x:v>User-visible alias; hidden email is Auth transport only</x:v>
      </x:c>
    </x:row>
    <x:row r="5">
      <x:c r="A5" s="18" t="str">
        <x:v>Accounts</x:v>
      </x:c>
      <x:c r="B5" s="18" t="str">
        <x:v>Role Grants</x:v>
      </x:c>
      <x:c r="C5" s="18" t="str">
        <x:v>enum list</x:v>
      </x:c>
      <x:c r="D5" s="18" t="str">
        <x:v>Boundary aware</x:v>
      </x:c>
      <x:c r="E5" s="18" t="str">
        <x:v>Canonical role grant(s), or none for the no-workspace refusal persona</x:v>
      </x:c>
    </x:row>
    <x:row r="6">
      <x:c r="A6" s="18" t="str">
        <x:v>Establishments</x:v>
      </x:c>
      <x:c r="B6" s="18" t="str">
        <x:v>Provenance</x:v>
      </x:c>
      <x:c r="C6" s="18" t="str">
        <x:v>text</x:v>
      </x:c>
      <x:c r="D6" s="18" t="str">
        <x:v>Yes</x:v>
      </x:c>
      <x:c r="E6" s="18" t="str">
        <x:v>Exact batch ownership marker</x:v>
      </x:c>
    </x:row>
    <x:row r="7">
      <x:c r="A7" s="18" t="str">
        <x:v>Visits</x:v>
      </x:c>
      <x:c r="B7" s="18" t="str">
        <x:v>State</x:v>
      </x:c>
      <x:c r="C7" s="18" t="str">
        <x:v>governed enum</x:v>
      </x:c>
      <x:c r="D7" s="18" t="str">
        <x:v>Yes</x:v>
      </x:c>
      <x:c r="E7" s="18" t="str">
        <x:v>Current operational_state value</x:v>
      </x:c>
    </x:row>
    <x:row r="8">
      <x:c r="A8" s="18" t="str">
        <x:v>Visits</x:v>
      </x:c>
      <x:c r="B8" s="18" t="str">
        <x:v>Latitude/Longitude</x:v>
      </x:c>
      <x:c r="C8" s="18" t="str">
        <x:v>decimal</x:v>
      </x:c>
      <x:c r="D8" s="18" t="str">
        <x:v>Yes</x:v>
      </x:c>
      <x:c r="E8" s="18" t="str">
        <x:v>Plausible Saudi coordinates</x:v>
      </x:c>
    </x:row>
    <x:row r="9">
      <x:c r="A9" s="18" t="str">
        <x:v>Findings Reports Evidence</x:v>
      </x:c>
      <x:c r="B9" s="18" t="str">
        <x:v>SHA-256</x:v>
      </x:c>
      <x:c r="C9" s="18" t="str">
        <x:v>text</x:v>
      </x:c>
      <x:c r="D9" s="18" t="str">
        <x:v>When evidence exists</x:v>
      </x:c>
      <x:c r="E9" s="18" t="str">
        <x:v>Metadata digest; no real image in workbook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e75192d8ed34686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329999923706055" hidden="0" customWidth="1"/>
    <x:col min="2" max="2" width="21.219999313354492" hidden="0" customWidth="1"/>
    <x:col min="3" max="3" width="32" hidden="0" customWidth="1"/>
    <x:col min="4" max="4" width="14.4399995803833" hidden="0" customWidth="1"/>
  </x:cols>
  <x:sheetData>
    <x:row r="1" ht="28" customHeight="1">
      <x:c r="A1" s="19" t="str">
        <x:v>Import Order</x:v>
      </x:c>
      <x:c r="B1" s="15"/>
      <x:c r="C1" s="15"/>
      <x:c r="D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</x:row>
    <x:row r="3" ht="28" customHeight="1">
      <x:c r="A3" s="17" t="str">
        <x:v>Step</x:v>
      </x:c>
      <x:c r="B3" s="17" t="str">
        <x:v>Entity</x:v>
      </x:c>
      <x:c r="C3" s="17" t="str">
        <x:v>Action</x:v>
      </x:c>
      <x:c r="D3" s="17" t="str">
        <x:v>Rollback Order</x:v>
      </x:c>
    </x:row>
    <x:row r="4">
      <x:c r="A4" s="18" t="str">
        <x:v>01</x:v>
      </x:c>
      <x:c r="B4" s="18" t="str">
        <x:v>Environment</x:v>
      </x:c>
      <x:c r="C4" s="18" t="str">
        <x:v>Guard approved non-production target + production refusal</x:v>
      </x:c>
      <x:c r="D4" s="18" t="str">
        <x:v>n/a</x:v>
      </x:c>
    </x:row>
    <x:row r="5">
      <x:c r="A5" s="18" t="str">
        <x:v>02</x:v>
      </x:c>
      <x:c r="B5" s="18" t="str">
        <x:v>Roles</x:v>
      </x:c>
      <x:c r="C5" s="18" t="str">
        <x:v>Verify/upsert governed four roles</x:v>
      </x:c>
      <x:c r="D5" s="18" t="str">
        <x:v>16</x:v>
      </x:c>
    </x:row>
    <x:row r="6">
      <x:c r="A6" s="18" t="str">
        <x:v>03</x:v>
      </x:c>
      <x:c r="B6" s="18" t="str">
        <x:v>Auth users</x:v>
      </x:c>
      <x:c r="C6" s="18" t="str">
        <x:v>Reconcile 47 deterministic UAT identities</x:v>
      </x:c>
      <x:c r="D6" s="18" t="str">
        <x:v>15</x:v>
      </x:c>
    </x:row>
    <x:row r="7">
      <x:c r="A7" s="18" t="str">
        <x:v>04</x:v>
      </x:c>
      <x:c r="B7" s="18" t="str">
        <x:v>Profiles and grants</x:v>
      </x:c>
      <x:c r="C7" s="18" t="str">
        <x:v>Upsert profiles and role rows</x:v>
      </x:c>
      <x:c r="D7" s="18" t="str">
        <x:v>14</x:v>
      </x:c>
    </x:row>
    <x:row r="8">
      <x:c r="A8" s="18" t="str">
        <x:v>05</x:v>
      </x:c>
      <x:c r="B8" s="18" t="str">
        <x:v>Establishments and licences</x:v>
      </x:c>
      <x:c r="C8" s="18" t="str">
        <x:v>Upsert master data</x:v>
      </x:c>
      <x:c r="D8" s="18" t="str">
        <x:v>13</x:v>
      </x:c>
    </x:row>
    <x:row r="9">
      <x:c r="A9" s="18" t="str">
        <x:v>06</x:v>
      </x:c>
      <x:c r="B9" s="18" t="str">
        <x:v>Packages and versions</x:v>
      </x:c>
      <x:c r="C9" s="18" t="str">
        <x:v>Upsert form configuration</x:v>
      </x:c>
      <x:c r="D9" s="18" t="str">
        <x:v>12</x:v>
      </x:c>
    </x:row>
    <x:row r="10">
      <x:c r="A10" s="18" t="str">
        <x:v>07</x:v>
      </x:c>
      <x:c r="B10" s="18" t="str">
        <x:v>Plans and visits</x:v>
      </x:c>
      <x:c r="C10" s="18" t="str">
        <x:v>Upsert planning graph</x:v>
      </x:c>
      <x:c r="D10" s="18" t="str">
        <x:v>11</x:v>
      </x:c>
    </x:row>
    <x:row r="11">
      <x:c r="A11" s="18" t="str">
        <x:v>08</x:v>
      </x:c>
      <x:c r="B11" s="18" t="str">
        <x:v>Assignments</x:v>
      </x:c>
      <x:c r="C11" s="18" t="str">
        <x:v>Upsert inspector links</x:v>
      </x:c>
      <x:c r="D11" s="18" t="str">
        <x:v>10</x:v>
      </x:c>
    </x:row>
    <x:row r="12">
      <x:c r="A12" s="18" t="str">
        <x:v>09</x:v>
      </x:c>
      <x:c r="B12" s="18" t="str">
        <x:v>Inspection data</x:v>
      </x:c>
      <x:c r="C12" s="18" t="str">
        <x:v>Upsert mutable execution fixtures</x:v>
      </x:c>
      <x:c r="D12" s="18" t="str">
        <x:v>09</x:v>
      </x:c>
    </x:row>
    <x:row r="13">
      <x:c r="A13" s="18" t="str">
        <x:v>10</x:v>
      </x:c>
      <x:c r="B13" s="18" t="str">
        <x:v>Validation</x:v>
      </x:c>
      <x:c r="C13" s="18" t="str">
        <x:v>Counts, FKs, RLS, coordinates</x:v>
      </x:c>
      <x:c r="D13" s="18" t="str">
        <x:v>n/a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51c5aeea7af4ac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5.5600004196167" hidden="0" customWidth="1"/>
    <x:col min="4" max="4" width="7.670000076293945" hidden="0" customWidth="1"/>
  </x:cols>
  <x:sheetData>
    <x:row r="1" ht="28" customHeight="1">
      <x:c r="A1" s="19" t="str">
        <x:v>Validation Reconciliation</x:v>
      </x:c>
      <x:c r="B1" s="15"/>
      <x:c r="C1" s="15"/>
      <x:c r="D1" s="15"/>
    </x:row>
    <x:row r="2" ht="28" customHeight="1">
      <x:c r="A2" s="16" t="str">
        <x:v>Editable yellow cells are package inputs; green cells are derived or validated outputs.</x:v>
      </x:c>
      <x:c r="B2" s="16"/>
      <x:c r="C2" s="16"/>
      <x:c r="D2" s="16"/>
    </x:row>
    <x:row r="3" ht="28" customHeight="1">
      <x:c r="A3" s="17" t="str">
        <x:v>Check</x:v>
      </x:c>
      <x:c r="B3" s="17" t="str">
        <x:v>Expected</x:v>
      </x:c>
      <x:c r="C3" s="17" t="str">
        <x:v>Formula / Actual</x:v>
      </x:c>
      <x:c r="D3" s="17" t="str">
        <x:v>Status</x:v>
      </x:c>
    </x:row>
    <x:row r="4">
      <x:c r="A4" s="18" t="str">
        <x:v>Accounts</x:v>
      </x:c>
      <x:c r="B4" s="18" t="n">
        <x:v>47</x:v>
      </x:c>
      <x:c r="C4" s="18" t="n">
        <x:f>COUNTA('Accounts'!$A$4:$A$50)</x:f>
        <x:v>47</x:v>
      </x:c>
      <x:c r="D4" s="18" t="str">
        <x:f>IF(B4=C4,"PASS","FAIL")</x:f>
        <x:v>PASS</x:v>
      </x:c>
    </x:row>
    <x:row r="5">
      <x:c r="A5" s="18" t="str">
        <x:v>Profiles</x:v>
      </x:c>
      <x:c r="B5" s="18" t="n">
        <x:v>47</x:v>
      </x:c>
      <x:c r="C5" s="18" t="n">
        <x:f>COUNTA('Profiles'!$A$4:$A$50)</x:f>
        <x:v>47</x:v>
      </x:c>
      <x:c r="D5" s="18" t="str">
        <x:f>IF(B5=C5,"PASS","FAIL")</x:f>
        <x:v>PASS</x:v>
      </x:c>
    </x:row>
    <x:row r="6">
      <x:c r="A6" s="18" t="str">
        <x:v>Establishments</x:v>
      </x:c>
      <x:c r="B6" s="18" t="n">
        <x:v>5</x:v>
      </x:c>
      <x:c r="C6" s="18" t="n">
        <x:f>COUNTA('Establishments'!$A$4:$A$8)</x:f>
        <x:v>5</x:v>
      </x:c>
      <x:c r="D6" s="18" t="str">
        <x:f>IF(B6=C6,"PASS","FAIL")</x:f>
        <x:v>PASS</x:v>
      </x:c>
    </x:row>
    <x:row r="7">
      <x:c r="A7" s="18" t="str">
        <x:v>Licences</x:v>
      </x:c>
      <x:c r="B7" s="18" t="n">
        <x:v>5</x:v>
      </x:c>
      <x:c r="C7" s="18" t="n">
        <x:f>COUNTA('Licences'!$A$4:$A$8)</x:f>
        <x:v>5</x:v>
      </x:c>
      <x:c r="D7" s="18" t="str">
        <x:f>IF(B7=C7,"PASS","FAIL")</x:f>
        <x:v>PASS</x:v>
      </x:c>
    </x:row>
    <x:row r="8">
      <x:c r="A8" s="18" t="str">
        <x:v>Packages</x:v>
      </x:c>
      <x:c r="B8" s="18" t="n">
        <x:v>5</x:v>
      </x:c>
      <x:c r="C8" s="18" t="n">
        <x:f>COUNTA('Packages Templates'!$A$4:$A$8)</x:f>
        <x:v>5</x:v>
      </x:c>
      <x:c r="D8" s="18" t="str">
        <x:f>IF(B8=C8,"PASS","FAIL")</x:f>
        <x:v>PASS</x:v>
      </x:c>
    </x:row>
    <x:row r="9">
      <x:c r="A9" s="18" t="str">
        <x:v>Plans</x:v>
      </x:c>
      <x:c r="B9" s="18" t="n">
        <x:v>5</x:v>
      </x:c>
      <x:c r="C9" s="18" t="n">
        <x:f>COUNTA('Plans'!$A$4:$A$8)</x:f>
        <x:v>5</x:v>
      </x:c>
      <x:c r="D9" s="18" t="str">
        <x:f>IF(B9=C9,"PASS","FAIL")</x:f>
        <x:v>PASS</x:v>
      </x:c>
    </x:row>
    <x:row r="10">
      <x:c r="A10" s="18" t="str">
        <x:v>Visits</x:v>
      </x:c>
      <x:c r="B10" s="18" t="n">
        <x:v>5</x:v>
      </x:c>
      <x:c r="C10" s="18" t="n">
        <x:f>COUNTA('Visits'!$A$4:$A$8)</x:f>
        <x:v>5</x:v>
      </x:c>
      <x:c r="D10" s="18" t="str">
        <x:f>IF(B10=C10,"PASS","FAIL")</x:f>
        <x:v>PASS</x:v>
      </x:c>
    </x:row>
    <x:row r="11">
      <x:c r="A11" s="18" t="str">
        <x:v>Assignments</x:v>
      </x:c>
      <x:c r="B11" s="18" t="n">
        <x:v>5</x:v>
      </x:c>
      <x:c r="C11" s="18" t="n">
        <x:f>COUNTA('Assignments'!$A$4:$A$8)</x:f>
        <x:v>5</x:v>
      </x:c>
      <x:c r="D11" s="18" t="str">
        <x:f>IF(B11=C11,"PASS","FAIL")</x:f>
        <x:v>PASS</x:v>
      </x:c>
    </x:row>
    <x:row r="12">
      <x:c r="A12" s="18" t="str">
        <x:v>Submission versions</x:v>
      </x:c>
      <x:c r="B12" s="18" t="n">
        <x:v>3</x:v>
      </x:c>
      <x:c r="C12" s="18" t="n">
        <x:f>COUNTIF('Findings Reports Evidence'!$A$4:$A$11,"Submission version")</x:f>
        <x:v>3</x:v>
      </x:c>
      <x:c r="D12" s="18" t="str">
        <x:f>IF(B12=C12,"PASS","FAIL")</x:f>
        <x:v>PASS</x:v>
      </x:c>
    </x:row>
    <x:row r="13">
      <x:c r="A13" s="18" t="str">
        <x:v>Reviews</x:v>
      </x:c>
      <x:c r="B13" s="18" t="n">
        <x:v>3</x:v>
      </x:c>
      <x:c r="C13" s="18" t="n">
        <x:f>COUNTIF('Findings Reports Evidence'!$A$4:$A$11,"Review")</x:f>
        <x:v>3</x:v>
      </x:c>
      <x:c r="D13" s="18" t="str">
        <x:f>IF(B13=C13,"PASS","FAIL")</x:f>
        <x:v>PASS</x:v>
      </x:c>
    </x:row>
    <x:row r="14">
      <x:c r="A14" s="18" t="str">
        <x:v>Relationship cohorts</x:v>
      </x:c>
      <x:c r="B14" s="18" t="n">
        <x:v>5</x:v>
      </x:c>
      <x:c r="C14" s="18" t="n">
        <x:f>COUNTA('Relationship Matrix'!$A$4:$A$8)</x:f>
        <x:v>5</x:v>
      </x:c>
      <x:c r="D14" s="18" t="str">
        <x:f>IF(B14=C14,"PASS","FAIL")</x:f>
        <x:v>PASS</x:v>
      </x:c>
    </x:row>
    <x:row r="15">
      <x:c r="A15" s="18" t="str">
        <x:v>Credential value cells</x:v>
      </x:c>
      <x:c r="B15" s="18" t="n">
        <x:v>0</x:v>
      </x:c>
      <x:c r="C15" s="18" t="n">
        <x:v>0</x:v>
      </x:c>
      <x:c r="D15" s="18" t="str">
        <x:v>PASS</x:v>
      </x:c>
    </x:row>
  </x:sheetData>
  <x:mergeCells>
    <x:mergeCell ref="A1:D1"/>
    <x:mergeCell ref="A2:D2"/>
  </x:mergeCells>
  <x:conditionalFormatting sqref="D4:D15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f12c1ddcb324463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110000610351562" hidden="0" customWidth="1"/>
    <x:col min="2" max="2" width="10" hidden="0" customWidth="1"/>
    <x:col min="3" max="3" width="7.670000076293945" hidden="0" customWidth="1"/>
    <x:col min="4" max="4" width="7.670000076293945" hidden="0" customWidth="1"/>
  </x:cols>
  <x:sheetData>
    <x:row r="1" ht="28" customHeight="1">
      <x:c r="A1" s="19" t="str">
        <x:v>Import Summary</x:v>
      </x:c>
      <x:c r="B1" s="15"/>
      <x:c r="C1" s="15"/>
      <x:c r="D1" s="15"/>
    </x:row>
    <x:row r="2" ht="28" customHeight="1">
      <x:c r="A2" s="16" t="str">
        <x:v>Executive reconciliation for the governed non-production package.</x:v>
      </x:c>
      <x:c r="B2" s="16"/>
      <x:c r="C2" s="16"/>
      <x:c r="D2" s="16"/>
    </x:row>
    <x:row r="3" ht="28" customHeight="1">
      <x:c r="A3" s="17" t="str">
        <x:v>Metric</x:v>
      </x:c>
      <x:c r="B3" s="17" t="str">
        <x:v>Expected</x:v>
      </x:c>
      <x:c r="C3" s="17" t="str">
        <x:v>Actual</x:v>
      </x:c>
      <x:c r="D3" s="17" t="str">
        <x:v>Status</x:v>
      </x:c>
    </x:row>
    <x:row r="4">
      <x:c r="A4" s="18" t="str">
        <x:v>Accounts</x:v>
      </x:c>
      <x:c r="B4" s="18" t="n">
        <x:v>47</x:v>
      </x:c>
      <x:c r="C4" s="18" t="n">
        <x:f>'Validation Reconciliation'!C4</x:f>
        <x:v>47</x:v>
      </x:c>
      <x:c r="D4" s="18" t="str">
        <x:f>IF(B4=C4,"PASS","FAIL")</x:f>
        <x:v>PASS</x:v>
      </x:c>
    </x:row>
    <x:row r="5">
      <x:c r="A5" s="18" t="str">
        <x:v>Cohorts</x:v>
      </x:c>
      <x:c r="B5" s="18" t="n">
        <x:v>5</x:v>
      </x:c>
      <x:c r="C5" s="18" t="n">
        <x:f>'Validation Reconciliation'!C14</x:f>
        <x:v>5</x:v>
      </x:c>
      <x:c r="D5" s="18" t="str">
        <x:f>IF(B5=C5,"PASS","FAIL")</x:f>
        <x:v>PASS</x:v>
      </x:c>
    </x:row>
    <x:row r="6">
      <x:c r="A6" s="18" t="str">
        <x:v>Factories</x:v>
      </x:c>
      <x:c r="B6" s="18" t="n">
        <x:v>5</x:v>
      </x:c>
      <x:c r="C6" s="18" t="n">
        <x:f>'Validation Reconciliation'!C6</x:f>
        <x:v>5</x:v>
      </x:c>
      <x:c r="D6" s="18" t="str">
        <x:f>IF(B6=C6,"PASS","FAIL")</x:f>
        <x:v>PASS</x:v>
      </x:c>
    </x:row>
    <x:row r="7">
      <x:c r="A7" s="18" t="str">
        <x:v>Visits</x:v>
      </x:c>
      <x:c r="B7" s="18" t="n">
        <x:v>5</x:v>
      </x:c>
      <x:c r="C7" s="18" t="n">
        <x:f>'Validation Reconciliation'!C10</x:f>
        <x:v>5</x:v>
      </x:c>
      <x:c r="D7" s="18" t="str">
        <x:f>IF(B7=C7,"PASS","FAIL")</x:f>
        <x:v>PASS</x:v>
      </x:c>
    </x:row>
    <x:row r="8">
      <x:c r="A8" s="18" t="str">
        <x:v>Core validation checks</x:v>
      </x:c>
      <x:c r="B8" s="18" t="n">
        <x:v>12</x:v>
      </x:c>
      <x:c r="C8" s="18" t="n">
        <x:f>COUNTIF('Validation Reconciliation'!$D$4:$D$15,"PASS")</x:f>
        <x:v>12</x:v>
      </x:c>
      <x:c r="D8" s="18" t="str">
        <x:f>IF(B8=C8,"PASS","FAIL")</x:f>
        <x:v>PASS</x:v>
      </x:c>
    </x:row>
  </x:sheetData>
  <x:mergeCells>
    <x:mergeCell ref="A1:D1"/>
    <x:mergeCell ref="A2:D2"/>
  </x:mergeCells>
  <x:conditionalFormatting sqref="D4:D8">
    <x:cfRule type="containsText" dxfId="2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7a049cc1ab50485f"/>
  </x:tableParts>
</x:worksheet>
</file>