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tables/table16.xml" ContentType="application/vnd.openxmlformats-officedocument.spreadsheetml.table+xml"/>
  <Override PartName="/xl/worksheets/sheet17.xml" ContentType="application/vnd.openxmlformats-officedocument.spreadsheetml.worksheet+xml"/>
  <Override PartName="/xl/tables/table1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0e16c5805e423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e &amp; Controls" sheetId="1" r:id="Rc94a930d94e74d5c"/>
    <x:sheet xmlns:r="http://schemas.openxmlformats.org/officeDocument/2006/relationships" name="Accounts" sheetId="2" r:id="Rcf86e6669bfa4898"/>
    <x:sheet xmlns:r="http://schemas.openxmlformats.org/officeDocument/2006/relationships" name="Profiles" sheetId="3" r:id="R4be72473a09147d6"/>
    <x:sheet xmlns:r="http://schemas.openxmlformats.org/officeDocument/2006/relationships" name="Establishments" sheetId="4" r:id="R72c1ce6851f34a12"/>
    <x:sheet xmlns:r="http://schemas.openxmlformats.org/officeDocument/2006/relationships" name="Licences" sheetId="5" r:id="Rd9fa693efc0c4dfb"/>
    <x:sheet xmlns:r="http://schemas.openxmlformats.org/officeDocument/2006/relationships" name="Packages Templates" sheetId="6" r:id="R88dbd92e23ae4d70"/>
    <x:sheet xmlns:r="http://schemas.openxmlformats.org/officeDocument/2006/relationships" name="Plans" sheetId="7" r:id="Rf22c1128ace64030"/>
    <x:sheet xmlns:r="http://schemas.openxmlformats.org/officeDocument/2006/relationships" name="Bulk Plans" sheetId="8" r:id="R261e0bd7c5f8495f"/>
    <x:sheet xmlns:r="http://schemas.openxmlformats.org/officeDocument/2006/relationships" name="Visits" sheetId="9" r:id="R441d130d4dc342b2"/>
    <x:sheet xmlns:r="http://schemas.openxmlformats.org/officeDocument/2006/relationships" name="Assignments" sheetId="10" r:id="Rb8226e95fb5d4f8f"/>
    <x:sheet xmlns:r="http://schemas.openxmlformats.org/officeDocument/2006/relationships" name="Inspection Data" sheetId="11" r:id="R5b1a831b8ea04dd3"/>
    <x:sheet xmlns:r="http://schemas.openxmlformats.org/officeDocument/2006/relationships" name="Findings Reports Evidence" sheetId="12" r:id="R18a4068ec0e54ea4"/>
    <x:sheet xmlns:r="http://schemas.openxmlformats.org/officeDocument/2006/relationships" name="Relationship Matrix" sheetId="13" r:id="Rd5585572708242ee"/>
    <x:sheet xmlns:r="http://schemas.openxmlformats.org/officeDocument/2006/relationships" name="Data Dictionary" sheetId="14" r:id="R8b62ffb6494147ee"/>
    <x:sheet xmlns:r="http://schemas.openxmlformats.org/officeDocument/2006/relationships" name="Import Order" sheetId="15" r:id="Rf604819390f64536"/>
    <x:sheet xmlns:r="http://schemas.openxmlformats.org/officeDocument/2006/relationships" name="Validation Reconciliation" sheetId="16" r:id="Re8d240c01e3d4a66"/>
    <x:sheet xmlns:r="http://schemas.openxmlformats.org/officeDocument/2006/relationships" name="Import Summary" sheetId="17" r:id="R3c56eb7f14b14a9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10">
    <x:font>
      <x:sz val="11"/>
      <x:name val="Carlito"/>
    </x:font>
    <x:font>
      <x:b/>
      <x:sz val="16"/>
      <x:color rgb="FFFFFFFF"/>
      <x:name val="Carlito"/>
    </x:font>
    <x:font>
      <x:i/>
      <x:sz val="11"/>
      <x:color rgb="FF243746"/>
      <x:name val="Carlito"/>
    </x:font>
    <x:font>
      <x:b/>
      <x:sz val="11"/>
      <x:color rgb="FFFFFFFF"/>
      <x:name val="Carlito"/>
    </x:font>
    <x:font>
      <x:sz val="11"/>
      <x:color rgb="FF243746"/>
      <x:name val="Carlito"/>
    </x:font>
    <x:font>
      <x:b/>
      <x:sz val="16"/>
      <x:color rgb="FF243746"/>
      <x:name val="Aptos"/>
    </x:font>
    <x:font>
      <x:i/>
      <x:sz val="11"/>
      <x:color rgb="FF243746"/>
      <x:name val="Aptos"/>
    </x:font>
    <x:font>
      <x:b/>
      <x:sz val="11"/>
      <x:color rgb="FF243746"/>
      <x:name val="Aptos"/>
    </x:font>
    <x:font>
      <x:sz val="11"/>
      <x:color rgb="FF243746"/>
      <x:name val="Aptos"/>
    </x:font>
    <x:font>
      <x:b/>
      <x:sz val="16"/>
      <x:color rgb="FFFFFFFF"/>
      <x:name val="Aptos Display"/>
    </x:font>
  </x:fonts>
  <x:fills count="5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4F5"/>
      </x:patternFill>
    </x:fill>
    <x:fill>
      <x:patternFill patternType="solid">
        <x:fgColor rgb="FF087E8B"/>
      </x:patternFill>
    </x:fill>
  </x:fills>
  <x:borders count="1">
    <x:border/>
  </x:borders>
  <x:cellStyleXfs count="1">
    <x:xf numFmtId="0" fontId="0" fillId="0" borderId="0"/>
  </x:cellStyleXfs>
  <x:cellXfs count="2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200" fontId="4" fillId="0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2" borderId="0" xfId="0" applyNumberFormat="1" applyFont="1" applyFill="1" applyBorder="1"/>
    <x:xf numFmtId="0" fontId="6" fillId="3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20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3">
    <x:dxf>
      <x:font>
        <x:b/>
        <x:color rgb="FF1B5E20"/>
      </x:font>
      <x:fill>
        <x:patternFill patternType="solid">
          <x:bgColor rgb="FFE8F3E8"/>
        </x:patternFill>
      </x:fill>
    </x:dxf>
    <x:dxf>
      <x:font>
        <x:b/>
        <x:color rgb="FFA51D2D"/>
      </x:font>
      <x:fill>
        <x:patternFill patternType="solid">
          <x:bgColor rgb="FFFDECEC"/>
        </x:patternFill>
      </x:fill>
    </x:dxf>
    <x:dxf>
      <x:font>
        <x:b/>
        <x:color rgb="FF1B5E20"/>
      </x:font>
      <x:fill>
        <x:patternFill patternType="solid">
          <x:bgColor rgb="FFE8F3E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6ffda72740d4f05" /><Relationship Type="http://schemas.openxmlformats.org/officeDocument/2006/relationships/theme" Target="/xl/theme/theme1.xml" Id="R5f89ce5493a04c87" /><Relationship Type="http://schemas.microsoft.com/office/2022/11/relationships/FeaturePropertyBag" Target="/xl/featurePropertyBag/featurePropertyBag.xml" Id="R1d7b158d1c3446b7" /><Relationship Type="http://schemas.openxmlformats.org/officeDocument/2006/relationships/sharedStrings" Target="/xl/sharedStrings.xml" Id="Rab2ad41b45ee40aa" /><Relationship Type="http://schemas.openxmlformats.org/officeDocument/2006/relationships/worksheet" Target="/xl/worksheets/sheet1.xml" Id="Rc94a930d94e74d5c" /><Relationship Type="http://schemas.openxmlformats.org/officeDocument/2006/relationships/worksheet" Target="/xl/worksheets/sheet2.xml" Id="Rcf86e6669bfa4898" /><Relationship Type="http://schemas.openxmlformats.org/officeDocument/2006/relationships/worksheet" Target="/xl/worksheets/sheet3.xml" Id="R4be72473a09147d6" /><Relationship Type="http://schemas.openxmlformats.org/officeDocument/2006/relationships/worksheet" Target="/xl/worksheets/sheet4.xml" Id="R72c1ce6851f34a12" /><Relationship Type="http://schemas.openxmlformats.org/officeDocument/2006/relationships/worksheet" Target="/xl/worksheets/sheet5.xml" Id="Rd9fa693efc0c4dfb" /><Relationship Type="http://schemas.openxmlformats.org/officeDocument/2006/relationships/worksheet" Target="/xl/worksheets/sheet6.xml" Id="R88dbd92e23ae4d70" /><Relationship Type="http://schemas.openxmlformats.org/officeDocument/2006/relationships/worksheet" Target="/xl/worksheets/sheet7.xml" Id="Rf22c1128ace64030" /><Relationship Type="http://schemas.openxmlformats.org/officeDocument/2006/relationships/worksheet" Target="/xl/worksheets/sheet8.xml" Id="R261e0bd7c5f8495f" /><Relationship Type="http://schemas.openxmlformats.org/officeDocument/2006/relationships/worksheet" Target="/xl/worksheets/sheet9.xml" Id="R441d130d4dc342b2" /><Relationship Type="http://schemas.openxmlformats.org/officeDocument/2006/relationships/worksheet" Target="/xl/worksheets/sheet10.xml" Id="Rb8226e95fb5d4f8f" /><Relationship Type="http://schemas.openxmlformats.org/officeDocument/2006/relationships/worksheet" Target="/xl/worksheets/sheet11.xml" Id="R5b1a831b8ea04dd3" /><Relationship Type="http://schemas.openxmlformats.org/officeDocument/2006/relationships/worksheet" Target="/xl/worksheets/sheet12.xml" Id="R18a4068ec0e54ea4" /><Relationship Type="http://schemas.openxmlformats.org/officeDocument/2006/relationships/worksheet" Target="/xl/worksheets/sheet13.xml" Id="Rd5585572708242ee" /><Relationship Type="http://schemas.openxmlformats.org/officeDocument/2006/relationships/worksheet" Target="/xl/worksheets/sheet14.xml" Id="R8b62ffb6494147ee" /><Relationship Type="http://schemas.openxmlformats.org/officeDocument/2006/relationships/worksheet" Target="/xl/worksheets/sheet15.xml" Id="Rf604819390f64536" /><Relationship Type="http://schemas.openxmlformats.org/officeDocument/2006/relationships/worksheet" Target="/xl/worksheets/sheet16.xml" Id="Re8d240c01e3d4a66" /><Relationship Type="http://schemas.openxmlformats.org/officeDocument/2006/relationships/worksheet" Target="/xl/worksheets/sheet17.xml" Id="R3c56eb7f14b14a9c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TGuideControls" displayName="TGuideControls" ref="A3:C11" headerRowCount="1" totalsRowCount="0" totalsRowShown="0">
  <x:autoFilter ref="A3:C11"/>
  <x:tableColumns count="3">
    <x:tableColumn id="1" name="Control"/>
    <x:tableColumn id="2" name="Value"/>
    <x:tableColumn id="3" name="Purpos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Accounts" displayName="TAccounts" ref="A3:E25" headerRowCount="1" totalsRowCount="0" totalsRowShown="0">
  <x:autoFilter ref="A3:E25"/>
  <x:tableColumns count="5">
    <x:tableColumn id="1" name="Username"/>
    <x:tableColumn id="2" name="Hidden Auth Email"/>
    <x:tableColumn id="3" name="Role Grants"/>
    <x:tableColumn id="4" name="User ID"/>
    <x:tableColumn id="5" name="Credential Sour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Profiles" displayName="TProfiles" ref="A3:F25" headerRowCount="1" totalsRowCount="0" totalsRowShown="0">
  <x:autoFilter ref="A3:F25"/>
  <x:tableColumns count="6">
    <x:tableColumn id="1" name="User ID"/>
    <x:tableColumn id="2" name="Username"/>
    <x:tableColumn id="3" name="Fictitious Display Name"/>
    <x:tableColumn id="4" name="Region"/>
    <x:tableColumn id="5" name="Org Scope"/>
    <x:tableColumn id="6" name="Statu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Establishments" displayName="TEstablishments" ref="A3:I8" headerRowCount="1" totalsRowCount="0" totalsRowShown="0">
  <x:autoFilter ref="A3:I8"/>
  <x:tableColumns count="9">
    <x:tableColumn id="1" name="Factory ID"/>
    <x:tableColumn id="2" name="Factory Code"/>
    <x:tableColumn id="3" name="Fictitious Name"/>
    <x:tableColumn id="4" name="Region"/>
    <x:tableColumn id="5" name="City"/>
    <x:tableColumn id="6" name="Latitude"/>
    <x:tableColumn id="7" name="Longitude"/>
    <x:tableColumn id="8" name="Provenance"/>
    <x:tableColumn id="9" name="Employe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TLicences" displayName="TLicences" ref="A3:H8" headerRowCount="1" totalsRowCount="0" totalsRowShown="0">
  <x:autoFilter ref="A3:H8"/>
  <x:tableColumns count="8">
    <x:tableColumn id="1" name="Licence ID"/>
    <x:tableColumn id="2" name="Factory ID"/>
    <x:tableColumn id="3" name="Licence Number"/>
    <x:tableColumn id="4" name="Status"/>
    <x:tableColumn id="5" name="Stage"/>
    <x:tableColumn id="6" name="Issue Date"/>
    <x:tableColumn id="7" name="Expiry Date"/>
    <x:tableColumn id="8" name="Sourc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TPackagesTemplates" displayName="TPackagesTemplates" ref="A3:G8" headerRowCount="1" totalsRowCount="0" totalsRowShown="0">
  <x:autoFilter ref="A3:G8"/>
  <x:tableColumns count="7">
    <x:tableColumn id="1" name="Package ID"/>
    <x:tableColumn id="2" name="Version ID"/>
    <x:tableColumn id="3" name="Code"/>
    <x:tableColumn id="4" name="Title"/>
    <x:tableColumn id="5" name="Version"/>
    <x:tableColumn id="6" name="Status"/>
    <x:tableColumn id="7" name="Item Cod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TPlans" displayName="TPlans" ref="A3:G8" headerRowCount="1" totalsRowCount="0" totalsRowShown="0">
  <x:autoFilter ref="A3:G8"/>
  <x:tableColumns count="7">
    <x:tableColumn id="1" name="Plan ID"/>
    <x:tableColumn id="2" name="Plan Reference"/>
    <x:tableColumn id="3" name="Method"/>
    <x:tableColumn id="4" name="Status"/>
    <x:tableColumn id="5" name="Planner Username"/>
    <x:tableColumn id="6" name="Supervisor Username"/>
    <x:tableColumn id="7" name="Cohort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TBulkPlans" displayName="TBulkPlans" ref="A3:F4" headerRowCount="1" totalsRowCount="0" totalsRowShown="0">
  <x:autoFilter ref="A3:F4"/>
  <x:tableColumns count="6">
    <x:tableColumn id="1" name="Scenario"/>
    <x:tableColumn id="2" name="Plan ID"/>
    <x:tableColumn id="3" name="Factory Count"/>
    <x:tableColumn id="4" name="Inspector Count"/>
    <x:tableColumn id="5" name="Atomicity"/>
    <x:tableColumn id="6" name="Purpose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TVisits" displayName="TVisits" ref="A3:K8" headerRowCount="1" totalsRowCount="0" totalsRowShown="0">
  <x:autoFilter ref="A3:K8"/>
  <x:tableColumns count="11">
    <x:tableColumn id="1" name="Visit ID"/>
    <x:tableColumn id="2" name="Reference"/>
    <x:tableColumn id="3" name="Plan ID"/>
    <x:tableColumn id="4" name="Factory ID"/>
    <x:tableColumn id="5" name="Package Version ID"/>
    <x:tableColumn id="6" name="State"/>
    <x:tableColumn id="7" name="Latitude"/>
    <x:tableColumn id="8" name="Longitude"/>
    <x:tableColumn id="9" name="Planner"/>
    <x:tableColumn id="10" name="Inspector"/>
    <x:tableColumn id="11" name="Cohort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TAssignments" displayName="TAssignments" ref="A3:F8" headerRowCount="1" totalsRowCount="0" totalsRowShown="0">
  <x:autoFilter ref="A3:F8"/>
  <x:tableColumns count="6">
    <x:tableColumn id="1" name="Assignment ID"/>
    <x:tableColumn id="2" name="Visit ID"/>
    <x:tableColumn id="3" name="Inspector User ID"/>
    <x:tableColumn id="4" name="Method"/>
    <x:tableColumn id="5" name="Status"/>
    <x:tableColumn id="6" name="Cohort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TInspectionData" displayName="TInspectionData" ref="A3:G6" headerRowCount="1" totalsRowCount="0" totalsRowShown="0">
  <x:autoFilter ref="A3:G6"/>
  <x:tableColumns count="7">
    <x:tableColumn id="1" name="Inspection ID"/>
    <x:tableColumn id="2" name="Visit ID"/>
    <x:tableColumn id="3" name="Package Version ID"/>
    <x:tableColumn id="4" name="Lifecycle"/>
    <x:tableColumn id="5" name="Response"/>
    <x:tableColumn id="6" name="Complete"/>
    <x:tableColumn id="7" name="Cohort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TFindingsReportsEvidenc" displayName="TFindingsReportsEvidenc" ref="A3:F11" headerRowCount="1" totalsRowCount="0" totalsRowShown="0">
  <x:autoFilter ref="A3:F11"/>
  <x:tableColumns count="6">
    <x:tableColumn id="1" name="Record Type"/>
    <x:tableColumn id="2" name="Record ID"/>
    <x:tableColumn id="3" name="Inspection ID"/>
    <x:tableColumn id="4" name="Description / Path"/>
    <x:tableColumn id="5" name="Severity"/>
    <x:tableColumn id="6" name="SHA-256 / Status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TRelationshipMatrix" displayName="TRelationshipMatrix" ref="A3:I8" headerRowCount="1" totalsRowCount="0" totalsRowShown="0">
  <x:autoFilter ref="A3:I8"/>
  <x:tableColumns count="9">
    <x:tableColumn id="1" name="Cohort"/>
    <x:tableColumn id="2" name="Admin"/>
    <x:tableColumn id="3" name="Planner"/>
    <x:tableColumn id="4" name="Supervisor"/>
    <x:tableColumn id="5" name="Inspector"/>
    <x:tableColumn id="6" name="Factory"/>
    <x:tableColumn id="7" name="Plan"/>
    <x:tableColumn id="8" name="Visit"/>
    <x:tableColumn id="9" name="Scenario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TDataDictionary" displayName="TDataDictionary" ref="A3:E9" headerRowCount="1" totalsRowCount="0" totalsRowShown="0">
  <x:autoFilter ref="A3:E9"/>
  <x:tableColumns count="5">
    <x:tableColumn id="1" name="Sheet"/>
    <x:tableColumn id="2" name="Field"/>
    <x:tableColumn id="3" name="Type"/>
    <x:tableColumn id="4" name="Required"/>
    <x:tableColumn id="5" name="Definition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TImportOrder" displayName="TImportOrder" ref="A3:D13" headerRowCount="1" totalsRowCount="0" totalsRowShown="0">
  <x:autoFilter ref="A3:D13"/>
  <x:tableColumns count="4">
    <x:tableColumn id="1" name="Step"/>
    <x:tableColumn id="2" name="Entity"/>
    <x:tableColumn id="3" name="Action"/>
    <x:tableColumn id="4" name="Rollback Order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6" name="TValidationReconciliati" displayName="TValidationReconciliati" ref="A3:D15" headerRowCount="1" totalsRowCount="0" totalsRowShown="0">
  <x:autoFilter ref="A3:D15"/>
  <x:tableColumns count="4">
    <x:tableColumn id="1" name="Check"/>
    <x:tableColumn id="2" name="Expected"/>
    <x:tableColumn id="3" name="Formula / Actual"/>
    <x:tableColumn id="4" name="Status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17" name="TImportSummary" displayName="TImportSummary" ref="A3:D8" headerRowCount="1" totalsRowCount="0" totalsRowShown="0">
  <x:autoFilter ref="A3:D8"/>
  <x:tableColumns count="4">
    <x:tableColumn id="1" name="Metric"/>
    <x:tableColumn id="2" name="Expected"/>
    <x:tableColumn id="3" name="Actual"/>
    <x:tableColumn id="4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52dbd542a6c495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9d83659e6f73408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6cd883165f81418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d050f50ca0ea4d2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365bf9563f5542b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32c1ba9b5fb24db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702f8827a9304cd4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27eefd159bdc46f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09c96af435f8459c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48902a7d58e447b1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1.xml" Id="R2e3466ada3c94389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2.xml" Id="R6e7693d0c0cd41e9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3.xml" Id="R13bc69a397f74d99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4.xml" Id="R954ad43bdd244055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5.xml" Id="R9f31b32a3fae4019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6.xml" Id="R09190013ddff411c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7.xml" Id="Rb6014d4583134c1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220000267028809" hidden="0" customWidth="1"/>
    <x:col min="2" max="2" width="17.329999923706055" hidden="0" customWidth="1"/>
    <x:col min="3" max="3" width="32" hidden="0" customWidth="1"/>
  </x:cols>
  <x:sheetData>
    <x:row r="1" ht="28" customHeight="1">
      <x:c r="A1" s="19" t="str">
        <x:v>Guide &amp; Controls</x:v>
      </x:c>
      <x:c r="B1" s="15"/>
      <x:c r="C1" s="15"/>
    </x:row>
    <x:row r="2" ht="28" customHeight="1">
      <x:c r="A2" s="16" t="str">
        <x:v>Editable yellow cells are package inputs; green cells are derived or validated outputs.</x:v>
      </x:c>
      <x:c r="B2" s="16"/>
      <x:c r="C2" s="16"/>
    </x:row>
    <x:row r="3" ht="28" customHeight="1">
      <x:c r="A3" s="17" t="str">
        <x:v>Control</x:v>
      </x:c>
      <x:c r="B3" s="17" t="str">
        <x:v>Value</x:v>
      </x:c>
      <x:c r="C3" s="17" t="str">
        <x:v>Purpose</x:v>
      </x:c>
    </x:row>
    <x:row r="4">
      <x:c r="A4" s="18" t="str">
        <x:v>Package ID</x:v>
      </x:c>
      <x:c r="B4" s="18" t="str">
        <x:v>local-test-data-v1</x:v>
      </x:c>
      <x:c r="C4" s="18" t="str">
        <x:v>Deterministic seed ownership and rollback key</x:v>
      </x:c>
    </x:row>
    <x:row r="5">
      <x:c r="A5" s="18" t="str">
        <x:v>Environment</x:v>
      </x:c>
      <x:c r="B5" s="18" t="str">
        <x:v>LOCAL ONLY</x:v>
      </x:c>
      <x:c r="C5" s="18" t="str">
        <x:v>Importer refuses non-loopback database hosts</x:v>
      </x:c>
    </x:row>
    <x:row r="6">
      <x:c r="A6" s="18" t="str">
        <x:v>QA password</x:v>
      </x:c>
      <x:c r="B6" s="18" t="str">
        <x:v>OPERATOR SUPPLIED</x:v>
      </x:c>
      <x:c r="C6" s="18" t="str">
        <x:v>Required through fail-closed environment loading; never stored in this package</x:v>
      </x:c>
    </x:row>
    <x:row r="7">
      <x:c r="A7" s="18" t="str">
        <x:v>Production writes</x:v>
      </x:c>
      <x:c r="B7" s="18" t="str">
        <x:v>PROHIBITED</x:v>
      </x:c>
      <x:c r="C7" s="18" t="str">
        <x:v>No production URLs or credentials are stored</x:v>
      </x:c>
    </x:row>
    <x:row r="8">
      <x:c r="A8" s="18" t="str">
        <x:v>Stable IDs</x:v>
      </x:c>
      <x:c r="B8" s="18" t="str">
        <x:v>Enabled</x:v>
      </x:c>
      <x:c r="C8" s="18" t="str">
        <x:v>All business and persona IDs are deterministic</x:v>
      </x:c>
    </x:row>
    <x:row r="9">
      <x:c r="A9" s="18" t="str">
        <x:v>Deletion policy</x:v>
      </x:c>
      <x:c r="B9" s="18" t="str">
        <x:v>Exact-member only</x:v>
      </x:c>
      <x:c r="C9" s="18" t="str">
        <x:v>No heuristic cleanup; immutable audit/history retained</x:v>
      </x:c>
    </x:row>
    <x:row r="10">
      <x:c r="A10" s="18" t="str">
        <x:v>Source schema</x:v>
      </x:c>
      <x:c r="B10" s="18" t="str">
        <x:v>Current local clone</x:v>
      </x:c>
      <x:c r="C10" s="18" t="str">
        <x:v>Derived read-only from active PLN-012 proof schema</x:v>
      </x:c>
    </x:row>
    <x:row r="11">
      <x:c r="A11" s="18" t="str">
        <x:v>Fictitious data</x:v>
      </x:c>
      <x:c r="B11" s="18" t="str">
        <x:v>Yes</x:v>
      </x:c>
      <x:c r="C11" s="18" t="str">
        <x:v>No real person or establishment is represented</x:v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e52dbd542a6c4958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890000343322754" hidden="0" customWidth="1"/>
    <x:col min="2" max="2" width="24" hidden="0" customWidth="1"/>
    <x:col min="3" max="3" width="15.4399995803833" hidden="0" customWidth="1"/>
    <x:col min="4" max="4" width="32" hidden="0" customWidth="1"/>
    <x:col min="5" max="5" width="16.670000076293945" hidden="0" customWidth="1"/>
  </x:cols>
  <x:sheetData>
    <x:row r="1" ht="28" customHeight="1">
      <x:c r="A1" s="19" t="str">
        <x:v>Accounts</x:v>
      </x:c>
      <x:c r="B1" s="15"/>
      <x:c r="C1" s="15"/>
      <x:c r="D1" s="15"/>
      <x:c r="E1" s="15"/>
    </x:row>
    <x:row r="2" ht="28" customHeight="1">
      <x:c r="A2" s="16" t="str">
        <x:v>Editable yellow cells are package inputs; green cells are derived or validated outputs.</x:v>
      </x:c>
      <x:c r="B2" s="16"/>
      <x:c r="C2" s="16"/>
      <x:c r="D2" s="16"/>
      <x:c r="E2" s="16"/>
    </x:row>
    <x:row r="3" ht="28" customHeight="1">
      <x:c r="A3" s="17" t="str">
        <x:v>Username</x:v>
      </x:c>
      <x:c r="B3" s="17" t="str">
        <x:v>Hidden Auth Email</x:v>
      </x:c>
      <x:c r="C3" s="17" t="str">
        <x:v>Role Grants</x:v>
      </x:c>
      <x:c r="D3" s="17" t="str">
        <x:v>User ID</x:v>
      </x:c>
      <x:c r="E3" s="17" t="str">
        <x:v>Credential Source</x:v>
      </x:c>
    </x:row>
    <x:row r="4">
      <x:c r="A4" s="18" t="str">
        <x:v>admin1</x:v>
      </x:c>
      <x:c r="B4" s="18" t="str">
        <x:v>admin1@local.saqeel.test</x:v>
      </x:c>
      <x:c r="C4" s="18" t="str">
        <x:v>admin</x:v>
      </x:c>
      <x:c r="D4" s="18" t="str">
        <x:v>a1000000-0000-4000-8000-000000000001</x:v>
      </x:c>
      <x:c r="E4" s="18" t="str">
        <x:v>ENV_REQUIRED</x:v>
      </x:c>
    </x:row>
    <x:row r="5">
      <x:c r="A5" s="18" t="str">
        <x:v>admin2</x:v>
      </x:c>
      <x:c r="B5" s="18" t="str">
        <x:v>admin2@local.saqeel.test</x:v>
      </x:c>
      <x:c r="C5" s="18" t="str">
        <x:v>admin</x:v>
      </x:c>
      <x:c r="D5" s="18" t="str">
        <x:v>a1000000-0000-4000-8000-000000000002</x:v>
      </x:c>
      <x:c r="E5" s="18" t="str">
        <x:v>ENV_REQUIRED</x:v>
      </x:c>
    </x:row>
    <x:row r="6">
      <x:c r="A6" s="18" t="str">
        <x:v>admin3</x:v>
      </x:c>
      <x:c r="B6" s="18" t="str">
        <x:v>admin3@local.saqeel.test</x:v>
      </x:c>
      <x:c r="C6" s="18" t="str">
        <x:v>admin</x:v>
      </x:c>
      <x:c r="D6" s="18" t="str">
        <x:v>a1000000-0000-4000-8000-000000000003</x:v>
      </x:c>
      <x:c r="E6" s="18" t="str">
        <x:v>ENV_REQUIRED</x:v>
      </x:c>
    </x:row>
    <x:row r="7">
      <x:c r="A7" s="18" t="str">
        <x:v>admin4</x:v>
      </x:c>
      <x:c r="B7" s="18" t="str">
        <x:v>admin4@local.saqeel.test</x:v>
      </x:c>
      <x:c r="C7" s="18" t="str">
        <x:v>admin</x:v>
      </x:c>
      <x:c r="D7" s="18" t="str">
        <x:v>a1000000-0000-4000-8000-000000000004</x:v>
      </x:c>
      <x:c r="E7" s="18" t="str">
        <x:v>ENV_REQUIRED</x:v>
      </x:c>
    </x:row>
    <x:row r="8">
      <x:c r="A8" s="18" t="str">
        <x:v>admin5</x:v>
      </x:c>
      <x:c r="B8" s="18" t="str">
        <x:v>admin5@local.saqeel.test</x:v>
      </x:c>
      <x:c r="C8" s="18" t="str">
        <x:v>admin</x:v>
      </x:c>
      <x:c r="D8" s="18" t="str">
        <x:v>a1000000-0000-4000-8000-000000000005</x:v>
      </x:c>
      <x:c r="E8" s="18" t="str">
        <x:v>ENV_REQUIRED</x:v>
      </x:c>
    </x:row>
    <x:row r="9">
      <x:c r="A9" s="18" t="str">
        <x:v>planner1</x:v>
      </x:c>
      <x:c r="B9" s="18" t="str">
        <x:v>planner1@local.saqeel.test</x:v>
      </x:c>
      <x:c r="C9" s="18" t="str">
        <x:v>planner</x:v>
      </x:c>
      <x:c r="D9" s="18" t="str">
        <x:v>a2000000-0000-4000-8000-000000000001</x:v>
      </x:c>
      <x:c r="E9" s="18" t="str">
        <x:v>ENV_REQUIRED</x:v>
      </x:c>
    </x:row>
    <x:row r="10">
      <x:c r="A10" s="18" t="str">
        <x:v>planner2</x:v>
      </x:c>
      <x:c r="B10" s="18" t="str">
        <x:v>planner2@local.saqeel.test</x:v>
      </x:c>
      <x:c r="C10" s="18" t="str">
        <x:v>planner</x:v>
      </x:c>
      <x:c r="D10" s="18" t="str">
        <x:v>a2000000-0000-4000-8000-000000000002</x:v>
      </x:c>
      <x:c r="E10" s="18" t="str">
        <x:v>ENV_REQUIRED</x:v>
      </x:c>
    </x:row>
    <x:row r="11">
      <x:c r="A11" s="18" t="str">
        <x:v>planner3</x:v>
      </x:c>
      <x:c r="B11" s="18" t="str">
        <x:v>planner3@local.saqeel.test</x:v>
      </x:c>
      <x:c r="C11" s="18" t="str">
        <x:v>planner</x:v>
      </x:c>
      <x:c r="D11" s="18" t="str">
        <x:v>a2000000-0000-4000-8000-000000000003</x:v>
      </x:c>
      <x:c r="E11" s="18" t="str">
        <x:v>ENV_REQUIRED</x:v>
      </x:c>
    </x:row>
    <x:row r="12">
      <x:c r="A12" s="18" t="str">
        <x:v>planner4</x:v>
      </x:c>
      <x:c r="B12" s="18" t="str">
        <x:v>planner4@local.saqeel.test</x:v>
      </x:c>
      <x:c r="C12" s="18" t="str">
        <x:v>planner</x:v>
      </x:c>
      <x:c r="D12" s="18" t="str">
        <x:v>a2000000-0000-4000-8000-000000000004</x:v>
      </x:c>
      <x:c r="E12" s="18" t="str">
        <x:v>ENV_REQUIRED</x:v>
      </x:c>
    </x:row>
    <x:row r="13">
      <x:c r="A13" s="18" t="str">
        <x:v>planner5</x:v>
      </x:c>
      <x:c r="B13" s="18" t="str">
        <x:v>planner5@local.saqeel.test</x:v>
      </x:c>
      <x:c r="C13" s="18" t="str">
        <x:v>planner</x:v>
      </x:c>
      <x:c r="D13" s="18" t="str">
        <x:v>a2000000-0000-4000-8000-000000000005</x:v>
      </x:c>
      <x:c r="E13" s="18" t="str">
        <x:v>ENV_REQUIRED</x:v>
      </x:c>
    </x:row>
    <x:row r="14">
      <x:c r="A14" s="18" t="str">
        <x:v>supervisor1</x:v>
      </x:c>
      <x:c r="B14" s="18" t="str">
        <x:v>supervisor1@local.saqeel.test</x:v>
      </x:c>
      <x:c r="C14" s="18" t="str">
        <x:v>supervisor</x:v>
      </x:c>
      <x:c r="D14" s="18" t="str">
        <x:v>a3000000-0000-4000-8000-000000000001</x:v>
      </x:c>
      <x:c r="E14" s="18" t="str">
        <x:v>ENV_REQUIRED</x:v>
      </x:c>
    </x:row>
    <x:row r="15">
      <x:c r="A15" s="18" t="str">
        <x:v>supervisor2</x:v>
      </x:c>
      <x:c r="B15" s="18" t="str">
        <x:v>supervisor2@local.saqeel.test</x:v>
      </x:c>
      <x:c r="C15" s="18" t="str">
        <x:v>supervisor</x:v>
      </x:c>
      <x:c r="D15" s="18" t="str">
        <x:v>a3000000-0000-4000-8000-000000000002</x:v>
      </x:c>
      <x:c r="E15" s="18" t="str">
        <x:v>ENV_REQUIRED</x:v>
      </x:c>
    </x:row>
    <x:row r="16">
      <x:c r="A16" s="18" t="str">
        <x:v>supervisor3</x:v>
      </x:c>
      <x:c r="B16" s="18" t="str">
        <x:v>supervisor3@local.saqeel.test</x:v>
      </x:c>
      <x:c r="C16" s="18" t="str">
        <x:v>supervisor</x:v>
      </x:c>
      <x:c r="D16" s="18" t="str">
        <x:v>a3000000-0000-4000-8000-000000000003</x:v>
      </x:c>
      <x:c r="E16" s="18" t="str">
        <x:v>ENV_REQUIRED</x:v>
      </x:c>
    </x:row>
    <x:row r="17">
      <x:c r="A17" s="18" t="str">
        <x:v>supervisor4</x:v>
      </x:c>
      <x:c r="B17" s="18" t="str">
        <x:v>supervisor4@local.saqeel.test</x:v>
      </x:c>
      <x:c r="C17" s="18" t="str">
        <x:v>supervisor</x:v>
      </x:c>
      <x:c r="D17" s="18" t="str">
        <x:v>a3000000-0000-4000-8000-000000000004</x:v>
      </x:c>
      <x:c r="E17" s="18" t="str">
        <x:v>ENV_REQUIRED</x:v>
      </x:c>
    </x:row>
    <x:row r="18">
      <x:c r="A18" s="18" t="str">
        <x:v>supervisor5</x:v>
      </x:c>
      <x:c r="B18" s="18" t="str">
        <x:v>supervisor5@local.saqeel.test</x:v>
      </x:c>
      <x:c r="C18" s="18" t="str">
        <x:v>supervisor</x:v>
      </x:c>
      <x:c r="D18" s="18" t="str">
        <x:v>a3000000-0000-4000-8000-000000000005</x:v>
      </x:c>
      <x:c r="E18" s="18" t="str">
        <x:v>ENV_REQUIRED</x:v>
      </x:c>
    </x:row>
    <x:row r="19">
      <x:c r="A19" s="18" t="str">
        <x:v>inspector1</x:v>
      </x:c>
      <x:c r="B19" s="18" t="str">
        <x:v>inspector1@local.saqeel.test</x:v>
      </x:c>
      <x:c r="C19" s="18" t="str">
        <x:v>inspector</x:v>
      </x:c>
      <x:c r="D19" s="18" t="str">
        <x:v>a4000000-0000-4000-8000-000000000001</x:v>
      </x:c>
      <x:c r="E19" s="18" t="str">
        <x:v>ENV_REQUIRED</x:v>
      </x:c>
    </x:row>
    <x:row r="20">
      <x:c r="A20" s="18" t="str">
        <x:v>inspector2</x:v>
      </x:c>
      <x:c r="B20" s="18" t="str">
        <x:v>inspector2@local.saqeel.test</x:v>
      </x:c>
      <x:c r="C20" s="18" t="str">
        <x:v>inspector</x:v>
      </x:c>
      <x:c r="D20" s="18" t="str">
        <x:v>a4000000-0000-4000-8000-000000000002</x:v>
      </x:c>
      <x:c r="E20" s="18" t="str">
        <x:v>ENV_REQUIRED</x:v>
      </x:c>
    </x:row>
    <x:row r="21">
      <x:c r="A21" s="18" t="str">
        <x:v>inspector3</x:v>
      </x:c>
      <x:c r="B21" s="18" t="str">
        <x:v>inspector3@local.saqeel.test</x:v>
      </x:c>
      <x:c r="C21" s="18" t="str">
        <x:v>inspector</x:v>
      </x:c>
      <x:c r="D21" s="18" t="str">
        <x:v>a4000000-0000-4000-8000-000000000003</x:v>
      </x:c>
      <x:c r="E21" s="18" t="str">
        <x:v>ENV_REQUIRED</x:v>
      </x:c>
    </x:row>
    <x:row r="22">
      <x:c r="A22" s="18" t="str">
        <x:v>inspector4</x:v>
      </x:c>
      <x:c r="B22" s="18" t="str">
        <x:v>inspector4@local.saqeel.test</x:v>
      </x:c>
      <x:c r="C22" s="18" t="str">
        <x:v>inspector</x:v>
      </x:c>
      <x:c r="D22" s="18" t="str">
        <x:v>a4000000-0000-4000-8000-000000000004</x:v>
      </x:c>
      <x:c r="E22" s="18" t="str">
        <x:v>ENV_REQUIRED</x:v>
      </x:c>
    </x:row>
    <x:row r="23">
      <x:c r="A23" s="18" t="str">
        <x:v>inspector5</x:v>
      </x:c>
      <x:c r="B23" s="18" t="str">
        <x:v>inspector5@local.saqeel.test</x:v>
      </x:c>
      <x:c r="C23" s="18" t="str">
        <x:v>inspector</x:v>
      </x:c>
      <x:c r="D23" s="18" t="str">
        <x:v>a4000000-0000-4000-8000-000000000005</x:v>
      </x:c>
      <x:c r="E23" s="18" t="str">
        <x:v>ENV_REQUIRED</x:v>
      </x:c>
    </x:row>
    <x:row r="24">
      <x:c r="A24" s="18" t="str">
        <x:v>multi-role</x:v>
      </x:c>
      <x:c r="B24" s="18" t="str">
        <x:v>multi-role@local.saqeel.test</x:v>
      </x:c>
      <x:c r="C24" s="18" t="str">
        <x:v>planner + supervisor</x:v>
      </x:c>
      <x:c r="D24" s="18" t="str">
        <x:v>a5000000-0000-4000-8000-000000000001</x:v>
      </x:c>
      <x:c r="E24" s="18" t="str">
        <x:v>ENV_REQUIRED</x:v>
      </x:c>
    </x:row>
    <x:row r="25">
      <x:c r="A25" s="18" t="str">
        <x:v>no-workspace</x:v>
      </x:c>
      <x:c r="B25" s="18" t="str">
        <x:v>no-workspace@local.saqeel.test</x:v>
      </x:c>
      <x:c r="C25" s="18" t="str">
        <x:v>none (refusal case)</x:v>
      </x:c>
      <x:c r="D25" s="18" t="str">
        <x:v>a6000000-0000-4000-8000-000000000001</x:v>
      </x:c>
      <x:c r="E25" s="18" t="str">
        <x:v>ENV_REQUIRED</x:v>
      </x:c>
    </x:row>
  </x:sheetData>
  <x:mergeCells>
    <x:mergeCell ref="A1:E1"/>
    <x:mergeCell ref="A2:E2"/>
  </x:mergeCells>
  <x:pageMargins left="0.7" right="0.7" top="0.75" bottom="0.75" header="0.3" footer="0.3"/>
  <x:tableParts count="1">
    <x:tablePart xmlns:r="http://schemas.openxmlformats.org/officeDocument/2006/relationships" r:id="R9d83659e6f734089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0.890000343322754" hidden="0" customWidth="1"/>
    <x:col min="3" max="3" width="21" hidden="0" customWidth="1"/>
    <x:col min="4" max="4" width="12.890000343322754" hidden="0" customWidth="1"/>
    <x:col min="5" max="5" width="11" hidden="0" customWidth="1"/>
    <x:col min="6" max="6" width="7.670000076293945" hidden="0" customWidth="1"/>
  </x:cols>
  <x:sheetData>
    <x:row r="1" ht="28" customHeight="1">
      <x:c r="A1" s="19" t="str">
        <x:v>Profiles</x:v>
      </x:c>
      <x:c r="B1" s="15"/>
      <x:c r="C1" s="15"/>
      <x:c r="D1" s="15"/>
      <x:c r="E1" s="15"/>
      <x:c r="F1" s="15"/>
    </x:row>
    <x:row r="2" ht="28" customHeight="1">
      <x:c r="A2" s="16" t="str">
        <x:v>Editable yellow cells are package inputs; green cells are derived or validated outputs.</x:v>
      </x:c>
      <x:c r="B2" s="16"/>
      <x:c r="C2" s="16"/>
      <x:c r="D2" s="16"/>
      <x:c r="E2" s="16"/>
      <x:c r="F2" s="16"/>
    </x:row>
    <x:row r="3" ht="28" customHeight="1">
      <x:c r="A3" s="17" t="str">
        <x:v>User ID</x:v>
      </x:c>
      <x:c r="B3" s="17" t="str">
        <x:v>Username</x:v>
      </x:c>
      <x:c r="C3" s="17" t="str">
        <x:v>Fictitious Display Name</x:v>
      </x:c>
      <x:c r="D3" s="17" t="str">
        <x:v>Region</x:v>
      </x:c>
      <x:c r="E3" s="17" t="str">
        <x:v>Org Scope</x:v>
      </x:c>
      <x:c r="F3" s="17" t="str">
        <x:v>Status</x:v>
      </x:c>
    </x:row>
    <x:row r="4">
      <x:c r="A4" s="18" t="str">
        <x:v>a1000000-0000-4000-8000-000000000001</x:v>
      </x:c>
      <x:c r="B4" s="18" t="str">
        <x:v>admin1</x:v>
      </x:c>
      <x:c r="C4" s="18" t="str">
        <x:v>نورة العتيبي</x:v>
      </x:c>
      <x:c r="D4" s="18" t="str">
        <x:v>Riyadh</x:v>
      </x:c>
      <x:c r="E4" s="18" t="str">
        <x:v>national</x:v>
      </x:c>
      <x:c r="F4" s="18" t="str">
        <x:v>active</x:v>
      </x:c>
    </x:row>
    <x:row r="5">
      <x:c r="A5" s="18" t="str">
        <x:v>a1000000-0000-4000-8000-000000000002</x:v>
      </x:c>
      <x:c r="B5" s="18" t="str">
        <x:v>admin2</x:v>
      </x:c>
      <x:c r="C5" s="18" t="str">
        <x:v>ريم القحطاني</x:v>
      </x:c>
      <x:c r="D5" s="18" t="str">
        <x:v>Eastern Province</x:v>
      </x:c>
      <x:c r="E5" s="18" t="str">
        <x:v>national</x:v>
      </x:c>
      <x:c r="F5" s="18" t="str">
        <x:v>active</x:v>
      </x:c>
    </x:row>
    <x:row r="6">
      <x:c r="A6" s="18" t="str">
        <x:v>a1000000-0000-4000-8000-000000000003</x:v>
      </x:c>
      <x:c r="B6" s="18" t="str">
        <x:v>admin3</x:v>
      </x:c>
      <x:c r="C6" s="18" t="str">
        <x:v>سارة الحربي</x:v>
      </x:c>
      <x:c r="D6" s="18" t="str">
        <x:v>Makkah</x:v>
      </x:c>
      <x:c r="E6" s="18" t="str">
        <x:v>national</x:v>
      </x:c>
      <x:c r="F6" s="18" t="str">
        <x:v>active</x:v>
      </x:c>
    </x:row>
    <x:row r="7">
      <x:c r="A7" s="18" t="str">
        <x:v>a1000000-0000-4000-8000-000000000004</x:v>
      </x:c>
      <x:c r="B7" s="18" t="str">
        <x:v>admin4</x:v>
      </x:c>
      <x:c r="C7" s="18" t="str">
        <x:v>هيا الدوسري</x:v>
      </x:c>
      <x:c r="D7" s="18" t="str">
        <x:v>Madinah</x:v>
      </x:c>
      <x:c r="E7" s="18" t="str">
        <x:v>national</x:v>
      </x:c>
      <x:c r="F7" s="18" t="str">
        <x:v>active</x:v>
      </x:c>
    </x:row>
    <x:row r="8">
      <x:c r="A8" s="18" t="str">
        <x:v>a1000000-0000-4000-8000-000000000005</x:v>
      </x:c>
      <x:c r="B8" s="18" t="str">
        <x:v>admin5</x:v>
      </x:c>
      <x:c r="C8" s="18" t="str">
        <x:v>لطيفة الشهري</x:v>
      </x:c>
      <x:c r="D8" s="18" t="str">
        <x:v>Qassim</x:v>
      </x:c>
      <x:c r="E8" s="18" t="str">
        <x:v>national</x:v>
      </x:c>
      <x:c r="F8" s="18" t="str">
        <x:v>active</x:v>
      </x:c>
    </x:row>
    <x:row r="9">
      <x:c r="A9" s="18" t="str">
        <x:v>a2000000-0000-4000-8000-000000000001</x:v>
      </x:c>
      <x:c r="B9" s="18" t="str">
        <x:v>planner1</x:v>
      </x:c>
      <x:c r="C9" s="18" t="str">
        <x:v>عبدالله السبيعي</x:v>
      </x:c>
      <x:c r="D9" s="18" t="str">
        <x:v>Riyadh</x:v>
      </x:c>
      <x:c r="E9" s="18" t="str">
        <x:v>regional</x:v>
      </x:c>
      <x:c r="F9" s="18" t="str">
        <x:v>active</x:v>
      </x:c>
    </x:row>
    <x:row r="10">
      <x:c r="A10" s="18" t="str">
        <x:v>a2000000-0000-4000-8000-000000000002</x:v>
      </x:c>
      <x:c r="B10" s="18" t="str">
        <x:v>planner2</x:v>
      </x:c>
      <x:c r="C10" s="18" t="str">
        <x:v>فيصل الغامدي</x:v>
      </x:c>
      <x:c r="D10" s="18" t="str">
        <x:v>Eastern Province</x:v>
      </x:c>
      <x:c r="E10" s="18" t="str">
        <x:v>regional</x:v>
      </x:c>
      <x:c r="F10" s="18" t="str">
        <x:v>active</x:v>
      </x:c>
    </x:row>
    <x:row r="11">
      <x:c r="A11" s="18" t="str">
        <x:v>a2000000-0000-4000-8000-000000000003</x:v>
      </x:c>
      <x:c r="B11" s="18" t="str">
        <x:v>planner3</x:v>
      </x:c>
      <x:c r="C11" s="18" t="str">
        <x:v>ماجد الزهراني</x:v>
      </x:c>
      <x:c r="D11" s="18" t="str">
        <x:v>Makkah</x:v>
      </x:c>
      <x:c r="E11" s="18" t="str">
        <x:v>regional</x:v>
      </x:c>
      <x:c r="F11" s="18" t="str">
        <x:v>active</x:v>
      </x:c>
    </x:row>
    <x:row r="12">
      <x:c r="A12" s="18" t="str">
        <x:v>a2000000-0000-4000-8000-000000000004</x:v>
      </x:c>
      <x:c r="B12" s="18" t="str">
        <x:v>planner4</x:v>
      </x:c>
      <x:c r="C12" s="18" t="str">
        <x:v>تركي المطيري</x:v>
      </x:c>
      <x:c r="D12" s="18" t="str">
        <x:v>Madinah</x:v>
      </x:c>
      <x:c r="E12" s="18" t="str">
        <x:v>regional</x:v>
      </x:c>
      <x:c r="F12" s="18" t="str">
        <x:v>active</x:v>
      </x:c>
    </x:row>
    <x:row r="13">
      <x:c r="A13" s="18" t="str">
        <x:v>a2000000-0000-4000-8000-000000000005</x:v>
      </x:c>
      <x:c r="B13" s="18" t="str">
        <x:v>planner5</x:v>
      </x:c>
      <x:c r="C13" s="18" t="str">
        <x:v>خالد الرشيدي</x:v>
      </x:c>
      <x:c r="D13" s="18" t="str">
        <x:v>Qassim</x:v>
      </x:c>
      <x:c r="E13" s="18" t="str">
        <x:v>regional</x:v>
      </x:c>
      <x:c r="F13" s="18" t="str">
        <x:v>active</x:v>
      </x:c>
    </x:row>
    <x:row r="14">
      <x:c r="A14" s="18" t="str">
        <x:v>a3000000-0000-4000-8000-000000000001</x:v>
      </x:c>
      <x:c r="B14" s="18" t="str">
        <x:v>supervisor1</x:v>
      </x:c>
      <x:c r="C14" s="18" t="str">
        <x:v>محمد العنزي</x:v>
      </x:c>
      <x:c r="D14" s="18" t="str">
        <x:v>Riyadh</x:v>
      </x:c>
      <x:c r="E14" s="18" t="str">
        <x:v>regional</x:v>
      </x:c>
      <x:c r="F14" s="18" t="str">
        <x:v>active</x:v>
      </x:c>
    </x:row>
    <x:row r="15">
      <x:c r="A15" s="18" t="str">
        <x:v>a3000000-0000-4000-8000-000000000002</x:v>
      </x:c>
      <x:c r="B15" s="18" t="str">
        <x:v>supervisor2</x:v>
      </x:c>
      <x:c r="C15" s="18" t="str">
        <x:v>أحمد الشمري</x:v>
      </x:c>
      <x:c r="D15" s="18" t="str">
        <x:v>Eastern Province</x:v>
      </x:c>
      <x:c r="E15" s="18" t="str">
        <x:v>regional</x:v>
      </x:c>
      <x:c r="F15" s="18" t="str">
        <x:v>active</x:v>
      </x:c>
    </x:row>
    <x:row r="16">
      <x:c r="A16" s="18" t="str">
        <x:v>a3000000-0000-4000-8000-000000000003</x:v>
      </x:c>
      <x:c r="B16" s="18" t="str">
        <x:v>supervisor3</x:v>
      </x:c>
      <x:c r="C16" s="18" t="str">
        <x:v>سلمان الثقفي</x:v>
      </x:c>
      <x:c r="D16" s="18" t="str">
        <x:v>Makkah</x:v>
      </x:c>
      <x:c r="E16" s="18" t="str">
        <x:v>regional</x:v>
      </x:c>
      <x:c r="F16" s="18" t="str">
        <x:v>active</x:v>
      </x:c>
    </x:row>
    <x:row r="17">
      <x:c r="A17" s="18" t="str">
        <x:v>a3000000-0000-4000-8000-000000000004</x:v>
      </x:c>
      <x:c r="B17" s="18" t="str">
        <x:v>supervisor4</x:v>
      </x:c>
      <x:c r="C17" s="18" t="str">
        <x:v>ياسر الجهني</x:v>
      </x:c>
      <x:c r="D17" s="18" t="str">
        <x:v>Madinah</x:v>
      </x:c>
      <x:c r="E17" s="18" t="str">
        <x:v>regional</x:v>
      </x:c>
      <x:c r="F17" s="18" t="str">
        <x:v>active</x:v>
      </x:c>
    </x:row>
    <x:row r="18">
      <x:c r="A18" s="18" t="str">
        <x:v>a3000000-0000-4000-8000-000000000005</x:v>
      </x:c>
      <x:c r="B18" s="18" t="str">
        <x:v>supervisor5</x:v>
      </x:c>
      <x:c r="C18" s="18" t="str">
        <x:v>بدر التميمي</x:v>
      </x:c>
      <x:c r="D18" s="18" t="str">
        <x:v>Qassim</x:v>
      </x:c>
      <x:c r="E18" s="18" t="str">
        <x:v>regional</x:v>
      </x:c>
      <x:c r="F18" s="18" t="str">
        <x:v>active</x:v>
      </x:c>
    </x:row>
    <x:row r="19">
      <x:c r="A19" s="18" t="str">
        <x:v>a4000000-0000-4000-8000-000000000001</x:v>
      </x:c>
      <x:c r="B19" s="18" t="str">
        <x:v>inspector1</x:v>
      </x:c>
      <x:c r="C19" s="18" t="str">
        <x:v>فهد الدوسري</x:v>
      </x:c>
      <x:c r="D19" s="18" t="str">
        <x:v>Riyadh</x:v>
      </x:c>
      <x:c r="E19" s="18" t="str">
        <x:v>regional</x:v>
      </x:c>
      <x:c r="F19" s="18" t="str">
        <x:v>active</x:v>
      </x:c>
    </x:row>
    <x:row r="20">
      <x:c r="A20" s="18" t="str">
        <x:v>a4000000-0000-4000-8000-000000000002</x:v>
      </x:c>
      <x:c r="B20" s="18" t="str">
        <x:v>inspector2</x:v>
      </x:c>
      <x:c r="C20" s="18" t="str">
        <x:v>عمر القحطاني</x:v>
      </x:c>
      <x:c r="D20" s="18" t="str">
        <x:v>Eastern Province</x:v>
      </x:c>
      <x:c r="E20" s="18" t="str">
        <x:v>regional</x:v>
      </x:c>
      <x:c r="F20" s="18" t="str">
        <x:v>active</x:v>
      </x:c>
    </x:row>
    <x:row r="21">
      <x:c r="A21" s="18" t="str">
        <x:v>a4000000-0000-4000-8000-000000000003</x:v>
      </x:c>
      <x:c r="B21" s="18" t="str">
        <x:v>inspector3</x:v>
      </x:c>
      <x:c r="C21" s="18" t="str">
        <x:v>زياد الحارثي</x:v>
      </x:c>
      <x:c r="D21" s="18" t="str">
        <x:v>Makkah</x:v>
      </x:c>
      <x:c r="E21" s="18" t="str">
        <x:v>regional</x:v>
      </x:c>
      <x:c r="F21" s="18" t="str">
        <x:v>active</x:v>
      </x:c>
    </x:row>
    <x:row r="22">
      <x:c r="A22" s="18" t="str">
        <x:v>a4000000-0000-4000-8000-000000000004</x:v>
      </x:c>
      <x:c r="B22" s="18" t="str">
        <x:v>inspector4</x:v>
      </x:c>
      <x:c r="C22" s="18" t="str">
        <x:v>ناصر البلوي</x:v>
      </x:c>
      <x:c r="D22" s="18" t="str">
        <x:v>Madinah</x:v>
      </x:c>
      <x:c r="E22" s="18" t="str">
        <x:v>regional</x:v>
      </x:c>
      <x:c r="F22" s="18" t="str">
        <x:v>active</x:v>
      </x:c>
    </x:row>
    <x:row r="23">
      <x:c r="A23" s="18" t="str">
        <x:v>a4000000-0000-4000-8000-000000000005</x:v>
      </x:c>
      <x:c r="B23" s="18" t="str">
        <x:v>inspector5</x:v>
      </x:c>
      <x:c r="C23" s="18" t="str">
        <x:v>راشد المطيري</x:v>
      </x:c>
      <x:c r="D23" s="18" t="str">
        <x:v>Qassim</x:v>
      </x:c>
      <x:c r="E23" s="18" t="str">
        <x:v>regional</x:v>
      </x:c>
      <x:c r="F23" s="18" t="str">
        <x:v>active</x:v>
      </x:c>
    </x:row>
    <x:row r="24">
      <x:c r="A24" s="18" t="str">
        <x:v>a5000000-0000-4000-8000-000000000001</x:v>
      </x:c>
      <x:c r="B24" s="18" t="str">
        <x:v>multi-role</x:v>
      </x:c>
      <x:c r="C24" s="18" t="str">
        <x:v>ضابط تخطيط ومراجعة تجريبي</x:v>
      </x:c>
      <x:c r="D24" s="18" t="str">
        <x:v>Riyadh</x:v>
      </x:c>
      <x:c r="E24" s="18" t="str">
        <x:v>regional</x:v>
      </x:c>
      <x:c r="F24" s="18" t="str">
        <x:v>active</x:v>
      </x:c>
    </x:row>
    <x:row r="25">
      <x:c r="A25" s="18" t="str">
        <x:v>a6000000-0000-4000-8000-000000000001</x:v>
      </x:c>
      <x:c r="B25" s="18" t="str">
        <x:v>no-workspace</x:v>
      </x:c>
      <x:c r="C25" s="18" t="str">
        <x:v>مستخدم بلا مساحة عمل تجريبي</x:v>
      </x:c>
      <x:c r="D25" s="18" t="str"/>
      <x:c r="E25" s="18" t="str"/>
      <x:c r="F25" s="18" t="str">
        <x:v>active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6cd883165f814185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.670000076293945" hidden="0" customWidth="1"/>
    <x:col min="2" max="2" width="13.220000267028809" hidden="0" customWidth="1"/>
    <x:col min="3" max="3" width="16.780000686645508" hidden="0" customWidth="1"/>
    <x:col min="4" max="4" width="12.890000343322754" hidden="0" customWidth="1"/>
    <x:col min="5" max="5" width="7.559999942779541" hidden="0" customWidth="1"/>
    <x:col min="6" max="6" width="9.109999656677246" hidden="0" customWidth="1"/>
    <x:col min="7" max="7" width="10.5600004196167" hidden="0" customWidth="1"/>
    <x:col min="8" max="8" width="22.440000534057617" hidden="0" customWidth="1"/>
    <x:col min="9" max="9" width="11.220000267028809" hidden="0" customWidth="1"/>
  </x:cols>
  <x:sheetData>
    <x:row r="1" ht="28" customHeight="1">
      <x:c r="A1" s="19" t="str">
        <x:v>Establishments</x:v>
      </x:c>
      <x:c r="B1" s="15"/>
      <x:c r="C1" s="15"/>
      <x:c r="D1" s="15"/>
      <x:c r="E1" s="15"/>
      <x:c r="F1" s="15"/>
      <x:c r="G1" s="15"/>
      <x:c r="H1" s="15"/>
      <x:c r="I1" s="15"/>
    </x:row>
    <x:row r="2" ht="28" customHeight="1">
      <x:c r="A2" s="16" t="str">
        <x:v>Editable yellow cells are package inputs; green cells are derived or validated outputs.</x:v>
      </x:c>
      <x:c r="B2" s="16"/>
      <x:c r="C2" s="16"/>
      <x:c r="D2" s="16"/>
      <x:c r="E2" s="16"/>
      <x:c r="F2" s="16"/>
      <x:c r="G2" s="16"/>
      <x:c r="H2" s="16"/>
      <x:c r="I2" s="16"/>
    </x:row>
    <x:row r="3" ht="28" customHeight="1">
      <x:c r="A3" s="17" t="str">
        <x:v>Factory ID</x:v>
      </x:c>
      <x:c r="B3" s="17" t="str">
        <x:v>Factory Code</x:v>
      </x:c>
      <x:c r="C3" s="17" t="str">
        <x:v>Fictitious Name</x:v>
      </x:c>
      <x:c r="D3" s="17" t="str">
        <x:v>Region</x:v>
      </x:c>
      <x:c r="E3" s="17" t="str">
        <x:v>City</x:v>
      </x:c>
      <x:c r="F3" s="17" t="str">
        <x:v>Latitude</x:v>
      </x:c>
      <x:c r="G3" s="17" t="str">
        <x:v>Longitude</x:v>
      </x:c>
      <x:c r="H3" s="17" t="str">
        <x:v>Provenance</x:v>
      </x:c>
      <x:c r="I3" s="17" t="str">
        <x:v>Employees</x:v>
      </x:c>
    </x:row>
    <x:row r="4">
      <x:c r="A4" s="18" t="str">
        <x:v>f1000000-0000-4000-8000-000000000001</x:v>
      </x:c>
      <x:c r="B4" s="18" t="str">
        <x:v>TST-RUH-001</x:v>
      </x:c>
      <x:c r="C4" s="18" t="str">
        <x:v>مصنع نجد للمكونات المعدنية</x:v>
      </x:c>
      <x:c r="D4" s="18" t="str">
        <x:v>Riyadh</x:v>
      </x:c>
      <x:c r="E4" s="18" t="str">
        <x:v>Riyadh</x:v>
      </x:c>
      <x:c r="F4" s="18" t="n">
        <x:v>24.7136</x:v>
      </x:c>
      <x:c r="G4" s="18" t="n">
        <x:v>46.6753</x:v>
      </x:c>
      <x:c r="H4" s="18" t="str">
        <x:v>demo_seed:local-test-data-v1</x:v>
      </x:c>
      <x:c r="I4" s="18" t="n">
        <x:v>185</x:v>
      </x:c>
    </x:row>
    <x:row r="5">
      <x:c r="A5" s="18" t="str">
        <x:v>f1000000-0000-4000-8000-000000000002</x:v>
      </x:c>
      <x:c r="B5" s="18" t="str">
        <x:v>TST-DMM-002</x:v>
      </x:c>
      <x:c r="C5" s="18" t="str">
        <x:v>مصنع الخليج للتغليف الغذائي</x:v>
      </x:c>
      <x:c r="D5" s="18" t="str">
        <x:v>Eastern Province</x:v>
      </x:c>
      <x:c r="E5" s="18" t="str">
        <x:v>Dammam</x:v>
      </x:c>
      <x:c r="F5" s="18" t="n">
        <x:v>26.4207</x:v>
      </x:c>
      <x:c r="G5" s="18" t="n">
        <x:v>50.0888</x:v>
      </x:c>
      <x:c r="H5" s="18" t="str">
        <x:v>demo_seed:local-test-data-v1</x:v>
      </x:c>
      <x:c r="I5" s="18" t="n">
        <x:v>167</x:v>
      </x:c>
    </x:row>
    <x:row r="6">
      <x:c r="A6" s="18" t="str">
        <x:v>f1000000-0000-4000-8000-000000000003</x:v>
      </x:c>
      <x:c r="B6" s="18" t="str">
        <x:v>TST-JED-003</x:v>
      </x:c>
      <x:c r="C6" s="18" t="str">
        <x:v>مصنع البحر الأحمر للكابلات</x:v>
      </x:c>
      <x:c r="D6" s="18" t="str">
        <x:v>Makkah</x:v>
      </x:c>
      <x:c r="E6" s="18" t="str">
        <x:v>Jeddah</x:v>
      </x:c>
      <x:c r="F6" s="18" t="n">
        <x:v>21.4858</x:v>
      </x:c>
      <x:c r="G6" s="18" t="n">
        <x:v>39.1925</x:v>
      </x:c>
      <x:c r="H6" s="18" t="str">
        <x:v>demo_seed:local-test-data-v1</x:v>
      </x:c>
      <x:c r="I6" s="18" t="n">
        <x:v>149</x:v>
      </x:c>
    </x:row>
    <x:row r="7">
      <x:c r="A7" s="18" t="str">
        <x:v>f1000000-0000-4000-8000-000000000004</x:v>
      </x:c>
      <x:c r="B7" s="18" t="str">
        <x:v>TST-MED-004</x:v>
      </x:c>
      <x:c r="C7" s="18" t="str">
        <x:v>مصنع طيبة للمنتجات الزجاجية</x:v>
      </x:c>
      <x:c r="D7" s="18" t="str">
        <x:v>Madinah</x:v>
      </x:c>
      <x:c r="E7" s="18" t="str">
        <x:v>Madinah</x:v>
      </x:c>
      <x:c r="F7" s="18" t="n">
        <x:v>24.5247</x:v>
      </x:c>
      <x:c r="G7" s="18" t="n">
        <x:v>39.5692</x:v>
      </x:c>
      <x:c r="H7" s="18" t="str">
        <x:v>demo_seed:local-test-data-v1</x:v>
      </x:c>
      <x:c r="I7" s="18" t="n">
        <x:v>131</x:v>
      </x:c>
    </x:row>
    <x:row r="8">
      <x:c r="A8" s="18" t="str">
        <x:v>f1000000-0000-4000-8000-000000000005</x:v>
      </x:c>
      <x:c r="B8" s="18" t="str">
        <x:v>TST-QSM-005</x:v>
      </x:c>
      <x:c r="C8" s="18" t="str">
        <x:v>مصنع القصيم للمعدات الزراعية</x:v>
      </x:c>
      <x:c r="D8" s="18" t="str">
        <x:v>Qassim</x:v>
      </x:c>
      <x:c r="E8" s="18" t="str">
        <x:v>Buraydah</x:v>
      </x:c>
      <x:c r="F8" s="18" t="n">
        <x:v>26.3592</x:v>
      </x:c>
      <x:c r="G8" s="18" t="n">
        <x:v>43.9818</x:v>
      </x:c>
      <x:c r="H8" s="18" t="str">
        <x:v>demo_seed:local-test-data-v1</x:v>
      </x:c>
      <x:c r="I8" s="18" t="n">
        <x:v>113</x:v>
      </x:c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d050f50ca0ea4d20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.670000076293945" hidden="0" customWidth="1"/>
    <x:col min="2" max="2" width="31.670000076293945" hidden="0" customWidth="1"/>
    <x:col min="3" max="3" width="15.4399995803833" hidden="0" customWidth="1"/>
    <x:col min="4" max="4" width="7.670000076293945" hidden="0" customWidth="1"/>
    <x:col min="5" max="5" width="8.670000076293945" hidden="0" customWidth="1"/>
    <x:col min="6" max="6" width="11" hidden="0" customWidth="1"/>
    <x:col min="7" max="7" width="11.670000076293945" hidden="0" customWidth="1"/>
    <x:col min="8" max="8" width="22.440000534057617" hidden="0" customWidth="1"/>
  </x:cols>
  <x:sheetData>
    <x:row r="1" ht="28" customHeight="1">
      <x:c r="A1" s="19" t="str">
        <x:v>Licences</x:v>
      </x:c>
      <x:c r="B1" s="15"/>
      <x:c r="C1" s="15"/>
      <x:c r="D1" s="15"/>
      <x:c r="E1" s="15"/>
      <x:c r="F1" s="15"/>
      <x:c r="G1" s="15"/>
      <x:c r="H1" s="15"/>
    </x:row>
    <x:row r="2" ht="28" customHeight="1">
      <x:c r="A2" s="16" t="str">
        <x:v>Editable yellow cells are package inputs; green cells are derived or validated outputs.</x:v>
      </x:c>
      <x:c r="B2" s="16"/>
      <x:c r="C2" s="16"/>
      <x:c r="D2" s="16"/>
      <x:c r="E2" s="16"/>
      <x:c r="F2" s="16"/>
      <x:c r="G2" s="16"/>
      <x:c r="H2" s="16"/>
    </x:row>
    <x:row r="3" ht="28" customHeight="1">
      <x:c r="A3" s="17" t="str">
        <x:v>Licence ID</x:v>
      </x:c>
      <x:c r="B3" s="17" t="str">
        <x:v>Factory ID</x:v>
      </x:c>
      <x:c r="C3" s="17" t="str">
        <x:v>Licence Number</x:v>
      </x:c>
      <x:c r="D3" s="17" t="str">
        <x:v>Status</x:v>
      </x:c>
      <x:c r="E3" s="17" t="str">
        <x:v>Stage</x:v>
      </x:c>
      <x:c r="F3" s="17" t="str">
        <x:v>Issue Date</x:v>
      </x:c>
      <x:c r="G3" s="17" t="str">
        <x:v>Expiry Date</x:v>
      </x:c>
      <x:c r="H3" s="17" t="str">
        <x:v>Source</x:v>
      </x:c>
    </x:row>
    <x:row r="4">
      <x:c r="A4" s="18" t="str">
        <x:v>f2000000-0000-4000-8000-000000000001</x:v>
      </x:c>
      <x:c r="B4" s="18" t="str">
        <x:v>f1000000-0000-4000-8000-000000000001</x:v>
      </x:c>
      <x:c r="C4" s="18" t="str">
        <x:v>LIC-TST-001</x:v>
      </x:c>
      <x:c r="D4" s="18" t="str">
        <x:v>active</x:v>
      </x:c>
      <x:c r="E4" s="18" t="str">
        <x:v>operational</x:v>
      </x:c>
      <x:c r="F4" s="20" t="n">
        <x:v>44562</x:v>
      </x:c>
      <x:c r="G4" s="20" t="n">
        <x:v>47118</x:v>
      </x:c>
      <x:c r="H4" s="18" t="str">
        <x:v>demo_seed:local-test-data-v1</x:v>
      </x:c>
    </x:row>
    <x:row r="5">
      <x:c r="A5" s="18" t="str">
        <x:v>f2000000-0000-4000-8000-000000000002</x:v>
      </x:c>
      <x:c r="B5" s="18" t="str">
        <x:v>f1000000-0000-4000-8000-000000000002</x:v>
      </x:c>
      <x:c r="C5" s="18" t="str">
        <x:v>LIC-TST-002</x:v>
      </x:c>
      <x:c r="D5" s="18" t="str">
        <x:v>active</x:v>
      </x:c>
      <x:c r="E5" s="18" t="str">
        <x:v>operational</x:v>
      </x:c>
      <x:c r="F5" s="20" t="n">
        <x:v>44562</x:v>
      </x:c>
      <x:c r="G5" s="20" t="n">
        <x:v>47118</x:v>
      </x:c>
      <x:c r="H5" s="18" t="str">
        <x:v>demo_seed:local-test-data-v1</x:v>
      </x:c>
    </x:row>
    <x:row r="6">
      <x:c r="A6" s="18" t="str">
        <x:v>f2000000-0000-4000-8000-000000000003</x:v>
      </x:c>
      <x:c r="B6" s="18" t="str">
        <x:v>f1000000-0000-4000-8000-000000000003</x:v>
      </x:c>
      <x:c r="C6" s="18" t="str">
        <x:v>LIC-TST-003</x:v>
      </x:c>
      <x:c r="D6" s="18" t="str">
        <x:v>active</x:v>
      </x:c>
      <x:c r="E6" s="18" t="str">
        <x:v>operational</x:v>
      </x:c>
      <x:c r="F6" s="20" t="n">
        <x:v>44562</x:v>
      </x:c>
      <x:c r="G6" s="20" t="n">
        <x:v>47118</x:v>
      </x:c>
      <x:c r="H6" s="18" t="str">
        <x:v>demo_seed:local-test-data-v1</x:v>
      </x:c>
    </x:row>
    <x:row r="7">
      <x:c r="A7" s="18" t="str">
        <x:v>f2000000-0000-4000-8000-000000000004</x:v>
      </x:c>
      <x:c r="B7" s="18" t="str">
        <x:v>f1000000-0000-4000-8000-000000000004</x:v>
      </x:c>
      <x:c r="C7" s="18" t="str">
        <x:v>LIC-TST-004</x:v>
      </x:c>
      <x:c r="D7" s="18" t="str">
        <x:v>active</x:v>
      </x:c>
      <x:c r="E7" s="18" t="str">
        <x:v>operational</x:v>
      </x:c>
      <x:c r="F7" s="20" t="n">
        <x:v>44562</x:v>
      </x:c>
      <x:c r="G7" s="20" t="n">
        <x:v>47118</x:v>
      </x:c>
      <x:c r="H7" s="18" t="str">
        <x:v>demo_seed:local-test-data-v1</x:v>
      </x:c>
    </x:row>
    <x:row r="8">
      <x:c r="A8" s="18" t="str">
        <x:v>f2000000-0000-4000-8000-000000000005</x:v>
      </x:c>
      <x:c r="B8" s="18" t="str">
        <x:v>f1000000-0000-4000-8000-000000000005</x:v>
      </x:c>
      <x:c r="C8" s="18" t="str">
        <x:v>LIC-TST-005</x:v>
      </x:c>
      <x:c r="D8" s="18" t="str">
        <x:v>active</x:v>
      </x:c>
      <x:c r="E8" s="18" t="str">
        <x:v>operational</x:v>
      </x:c>
      <x:c r="F8" s="20" t="n">
        <x:v>44562</x:v>
      </x:c>
      <x:c r="G8" s="20" t="n">
        <x:v>47118</x:v>
      </x:c>
      <x:c r="H8" s="18" t="str">
        <x:v>demo_seed:local-test-data-v1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365bf9563f5542b1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32" hidden="0" customWidth="1"/>
    <x:col min="3" max="3" width="10.5600004196167" hidden="0" customWidth="1"/>
    <x:col min="4" max="4" width="25.110000610351562" hidden="0" customWidth="1"/>
    <x:col min="5" max="5" width="8.4399995803833" hidden="0" customWidth="1"/>
    <x:col min="6" max="6" width="7.670000076293945" hidden="0" customWidth="1"/>
    <x:col min="7" max="7" width="13.109999656677246" hidden="0" customWidth="1"/>
  </x:cols>
  <x:sheetData>
    <x:row r="1" ht="28" customHeight="1">
      <x:c r="A1" s="19" t="str">
        <x:v>Packages Templates</x:v>
      </x:c>
      <x:c r="B1" s="15"/>
      <x:c r="C1" s="15"/>
      <x:c r="D1" s="15"/>
      <x:c r="E1" s="15"/>
      <x:c r="F1" s="15"/>
      <x:c r="G1" s="15"/>
    </x:row>
    <x:row r="2" ht="28" customHeight="1">
      <x:c r="A2" s="16" t="str">
        <x:v>Editable yellow cells are package inputs; green cells are derived or validated outputs.</x:v>
      </x:c>
      <x:c r="B2" s="16"/>
      <x:c r="C2" s="16"/>
      <x:c r="D2" s="16"/>
      <x:c r="E2" s="16"/>
      <x:c r="F2" s="16"/>
      <x:c r="G2" s="16"/>
    </x:row>
    <x:row r="3" ht="28" customHeight="1">
      <x:c r="A3" s="17" t="str">
        <x:v>Package ID</x:v>
      </x:c>
      <x:c r="B3" s="17" t="str">
        <x:v>Version ID</x:v>
      </x:c>
      <x:c r="C3" s="17" t="str">
        <x:v>Code</x:v>
      </x:c>
      <x:c r="D3" s="17" t="str">
        <x:v>Title</x:v>
      </x:c>
      <x:c r="E3" s="17" t="str">
        <x:v>Version</x:v>
      </x:c>
      <x:c r="F3" s="17" t="str">
        <x:v>Status</x:v>
      </x:c>
      <x:c r="G3" s="17" t="str">
        <x:v>Item Code</x:v>
      </x:c>
    </x:row>
    <x:row r="4">
      <x:c r="A4" s="18" t="str">
        <x:v>72000000-0000-4000-8000-000000000001</x:v>
      </x:c>
      <x:c r="B4" s="18" t="str">
        <x:v>73000000-0000-4000-8000-000000000001</x:v>
      </x:c>
      <x:c r="C4" s="18" t="str">
        <x:v>TST-PKG-001</x:v>
      </x:c>
      <x:c r="D4" s="18" t="str">
        <x:v>Saudi Industrial Core Inspection 1</x:v>
      </x:c>
      <x:c r="E4" s="18" t="str">
        <x:v>v1</x:v>
      </x:c>
      <x:c r="F4" s="18" t="str">
        <x:v>published</x:v>
      </x:c>
      <x:c r="G4" s="18" t="str">
        <x:v>TST-SAFETY-001</x:v>
      </x:c>
    </x:row>
    <x:row r="5">
      <x:c r="A5" s="18" t="str">
        <x:v>72000000-0000-4000-8000-000000000002</x:v>
      </x:c>
      <x:c r="B5" s="18" t="str">
        <x:v>73000000-0000-4000-8000-000000000002</x:v>
      </x:c>
      <x:c r="C5" s="18" t="str">
        <x:v>TST-PKG-002</x:v>
      </x:c>
      <x:c r="D5" s="18" t="str">
        <x:v>Saudi Industrial Core Inspection 2</x:v>
      </x:c>
      <x:c r="E5" s="18" t="str">
        <x:v>v1</x:v>
      </x:c>
      <x:c r="F5" s="18" t="str">
        <x:v>published</x:v>
      </x:c>
      <x:c r="G5" s="18" t="str">
        <x:v>TST-SAFETY-001</x:v>
      </x:c>
    </x:row>
    <x:row r="6">
      <x:c r="A6" s="18" t="str">
        <x:v>72000000-0000-4000-8000-000000000003</x:v>
      </x:c>
      <x:c r="B6" s="18" t="str">
        <x:v>73000000-0000-4000-8000-000000000003</x:v>
      </x:c>
      <x:c r="C6" s="18" t="str">
        <x:v>TST-PKG-003</x:v>
      </x:c>
      <x:c r="D6" s="18" t="str">
        <x:v>Saudi Industrial Core Inspection 3</x:v>
      </x:c>
      <x:c r="E6" s="18" t="str">
        <x:v>v1</x:v>
      </x:c>
      <x:c r="F6" s="18" t="str">
        <x:v>published</x:v>
      </x:c>
      <x:c r="G6" s="18" t="str">
        <x:v>TST-SAFETY-001</x:v>
      </x:c>
    </x:row>
    <x:row r="7">
      <x:c r="A7" s="18" t="str">
        <x:v>72000000-0000-4000-8000-000000000004</x:v>
      </x:c>
      <x:c r="B7" s="18" t="str">
        <x:v>73000000-0000-4000-8000-000000000004</x:v>
      </x:c>
      <x:c r="C7" s="18" t="str">
        <x:v>TST-PKG-004</x:v>
      </x:c>
      <x:c r="D7" s="18" t="str">
        <x:v>Saudi Industrial Core Inspection 4</x:v>
      </x:c>
      <x:c r="E7" s="18" t="str">
        <x:v>v1</x:v>
      </x:c>
      <x:c r="F7" s="18" t="str">
        <x:v>published</x:v>
      </x:c>
      <x:c r="G7" s="18" t="str">
        <x:v>TST-SAFETY-001</x:v>
      </x:c>
    </x:row>
    <x:row r="8">
      <x:c r="A8" s="18" t="str">
        <x:v>72000000-0000-4000-8000-000000000005</x:v>
      </x:c>
      <x:c r="B8" s="18" t="str">
        <x:v>73000000-0000-4000-8000-000000000005</x:v>
      </x:c>
      <x:c r="C8" s="18" t="str">
        <x:v>TST-PKG-005</x:v>
      </x:c>
      <x:c r="D8" s="18" t="str">
        <x:v>Saudi Industrial Core Inspection 5</x:v>
      </x:c>
      <x:c r="E8" s="18" t="str">
        <x:v>v1</x:v>
      </x:c>
      <x:c r="F8" s="18" t="str">
        <x:v>published</x:v>
      </x:c>
      <x:c r="G8" s="18" t="str">
        <x:v>TST-SAFETY-001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32c1ba9b5fb24dbd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4.5600004196167" hidden="0" customWidth="1"/>
    <x:col min="3" max="3" width="8.670000076293945" hidden="0" customWidth="1"/>
    <x:col min="4" max="4" width="7.670000076293945" hidden="0" customWidth="1"/>
    <x:col min="5" max="5" width="17.110000610351562" hidden="0" customWidth="1"/>
    <x:col min="6" max="6" width="19.559999465942383" hidden="0" customWidth="1"/>
    <x:col min="7" max="7" width="8.109999656677246" hidden="0" customWidth="1"/>
  </x:cols>
  <x:sheetData>
    <x:row r="1" ht="28" customHeight="1">
      <x:c r="A1" s="19" t="str">
        <x:v>Plans</x:v>
      </x:c>
      <x:c r="B1" s="15"/>
      <x:c r="C1" s="15"/>
      <x:c r="D1" s="15"/>
      <x:c r="E1" s="15"/>
      <x:c r="F1" s="15"/>
      <x:c r="G1" s="15"/>
    </x:row>
    <x:row r="2" ht="28" customHeight="1">
      <x:c r="A2" s="16" t="str">
        <x:v>Editable yellow cells are package inputs; green cells are derived or validated outputs.</x:v>
      </x:c>
      <x:c r="B2" s="16"/>
      <x:c r="C2" s="16"/>
      <x:c r="D2" s="16"/>
      <x:c r="E2" s="16"/>
      <x:c r="F2" s="16"/>
      <x:c r="G2" s="16"/>
    </x:row>
    <x:row r="3" ht="28" customHeight="1">
      <x:c r="A3" s="17" t="str">
        <x:v>Plan ID</x:v>
      </x:c>
      <x:c r="B3" s="17" t="str">
        <x:v>Plan Reference</x:v>
      </x:c>
      <x:c r="C3" s="17" t="str">
        <x:v>Method</x:v>
      </x:c>
      <x:c r="D3" s="17" t="str">
        <x:v>Status</x:v>
      </x:c>
      <x:c r="E3" s="17" t="str">
        <x:v>Planner Username</x:v>
      </x:c>
      <x:c r="F3" s="17" t="str">
        <x:v>Supervisor Username</x:v>
      </x:c>
      <x:c r="G3" s="17" t="str">
        <x:v>Cohort</x:v>
      </x:c>
    </x:row>
    <x:row r="4">
      <x:c r="A4" s="18" t="str">
        <x:v>74000000-0000-4000-8000-000000000001</x:v>
      </x:c>
      <x:c r="B4" s="18" t="str">
        <x:v>QA-PLAN-001</x:v>
      </x:c>
      <x:c r="C4" s="18" t="str">
        <x:v>single</x:v>
      </x:c>
      <x:c r="D4" s="18" t="str">
        <x:v>published</x:v>
      </x:c>
      <x:c r="E4" s="18" t="str">
        <x:v>planner1</x:v>
      </x:c>
      <x:c r="F4" s="18" t="str">
        <x:v>supervisor1</x:v>
      </x:c>
      <x:c r="G4" s="18" t="n">
        <x:v>1</x:v>
      </x:c>
    </x:row>
    <x:row r="5">
      <x:c r="A5" s="18" t="str">
        <x:v>74000000-0000-4000-8000-000000000002</x:v>
      </x:c>
      <x:c r="B5" s="18" t="str">
        <x:v>QA-PLAN-002</x:v>
      </x:c>
      <x:c r="C5" s="18" t="str">
        <x:v>bulk</x:v>
      </x:c>
      <x:c r="D5" s="18" t="str">
        <x:v>published</x:v>
      </x:c>
      <x:c r="E5" s="18" t="str">
        <x:v>planner2</x:v>
      </x:c>
      <x:c r="F5" s="18" t="str">
        <x:v>supervisor2</x:v>
      </x:c>
      <x:c r="G5" s="18" t="n">
        <x:v>2</x:v>
      </x:c>
    </x:row>
    <x:row r="6">
      <x:c r="A6" s="18" t="str">
        <x:v>74000000-0000-4000-8000-000000000003</x:v>
      </x:c>
      <x:c r="B6" s="18" t="str">
        <x:v>QA-PLAN-003</x:v>
      </x:c>
      <x:c r="C6" s="18" t="str">
        <x:v>single</x:v>
      </x:c>
      <x:c r="D6" s="18" t="str">
        <x:v>published</x:v>
      </x:c>
      <x:c r="E6" s="18" t="str">
        <x:v>planner3</x:v>
      </x:c>
      <x:c r="F6" s="18" t="str">
        <x:v>supervisor3</x:v>
      </x:c>
      <x:c r="G6" s="18" t="n">
        <x:v>3</x:v>
      </x:c>
    </x:row>
    <x:row r="7">
      <x:c r="A7" s="18" t="str">
        <x:v>74000000-0000-4000-8000-000000000004</x:v>
      </x:c>
      <x:c r="B7" s="18" t="str">
        <x:v>QA-PLAN-004</x:v>
      </x:c>
      <x:c r="C7" s="18" t="str">
        <x:v>single</x:v>
      </x:c>
      <x:c r="D7" s="18" t="str">
        <x:v>published</x:v>
      </x:c>
      <x:c r="E7" s="18" t="str">
        <x:v>planner4</x:v>
      </x:c>
      <x:c r="F7" s="18" t="str">
        <x:v>supervisor4</x:v>
      </x:c>
      <x:c r="G7" s="18" t="n">
        <x:v>4</x:v>
      </x:c>
    </x:row>
    <x:row r="8">
      <x:c r="A8" s="18" t="str">
        <x:v>74000000-0000-4000-8000-000000000005</x:v>
      </x:c>
      <x:c r="B8" s="18" t="str">
        <x:v>QA-PLAN-005</x:v>
      </x:c>
      <x:c r="C8" s="18" t="str">
        <x:v>single</x:v>
      </x:c>
      <x:c r="D8" s="18" t="str">
        <x:v>published</x:v>
      </x:c>
      <x:c r="E8" s="18" t="str">
        <x:v>planner5</x:v>
      </x:c>
      <x:c r="F8" s="18" t="str">
        <x:v>supervisor5</x:v>
      </x:c>
      <x:c r="G8" s="18" t="n">
        <x:v>5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702f8827a9304cd4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5600004196167" hidden="0" customWidth="1"/>
    <x:col min="2" max="2" width="32" hidden="0" customWidth="1"/>
    <x:col min="3" max="3" width="13.779999732971191" hidden="0" customWidth="1"/>
    <x:col min="4" max="4" width="15.220000267028809" hidden="0" customWidth="1"/>
    <x:col min="5" max="5" width="11.779999732971191" hidden="0" customWidth="1"/>
    <x:col min="6" max="6" width="28.440000534057617" hidden="0" customWidth="1"/>
  </x:cols>
  <x:sheetData>
    <x:row r="1" ht="28" customHeight="1">
      <x:c r="A1" s="19" t="str">
        <x:v>Bulk Plans</x:v>
      </x:c>
      <x:c r="B1" s="15"/>
      <x:c r="C1" s="15"/>
      <x:c r="D1" s="15"/>
      <x:c r="E1" s="15"/>
      <x:c r="F1" s="15"/>
    </x:row>
    <x:row r="2" ht="28" customHeight="1">
      <x:c r="A2" s="16" t="str">
        <x:v>Editable yellow cells are package inputs; green cells are derived or validated outputs.</x:v>
      </x:c>
      <x:c r="B2" s="16"/>
      <x:c r="C2" s="16"/>
      <x:c r="D2" s="16"/>
      <x:c r="E2" s="16"/>
      <x:c r="F2" s="16"/>
    </x:row>
    <x:row r="3" ht="28" customHeight="1">
      <x:c r="A3" s="17" t="str">
        <x:v>Scenario</x:v>
      </x:c>
      <x:c r="B3" s="17" t="str">
        <x:v>Plan ID</x:v>
      </x:c>
      <x:c r="C3" s="17" t="str">
        <x:v>Factory Count</x:v>
      </x:c>
      <x:c r="D3" s="17" t="str">
        <x:v>Inspector Count</x:v>
      </x:c>
      <x:c r="E3" s="17" t="str">
        <x:v>Atomicity</x:v>
      </x:c>
      <x:c r="F3" s="17" t="str">
        <x:v>Purpose</x:v>
      </x:c>
    </x:row>
    <x:row r="4">
      <x:c r="A4" s="18" t="str">
        <x:v>BULK-COHORT-2</x:v>
      </x:c>
      <x:c r="B4" s="18" t="str">
        <x:v>74000000-0000-4000-8000-000000000002</x:v>
      </x:c>
      <x:c r="C4" s="18" t="n">
        <x:v>1</x:v>
      </x:c>
      <x:c r="D4" s="18" t="n">
        <x:v>1</x:v>
      </x:c>
      <x:c r="E4" s="18" t="str">
        <x:v>one transaction</x:v>
      </x:c>
      <x:c r="F4" s="18" t="str">
        <x:v>Representative bulk-planning scenario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27eefd159bdc46f6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0.670000076293945" hidden="0" customWidth="1"/>
    <x:col min="3" max="3" width="32" hidden="0" customWidth="1"/>
    <x:col min="4" max="4" width="31.670000076293945" hidden="0" customWidth="1"/>
    <x:col min="5" max="5" width="32" hidden="0" customWidth="1"/>
    <x:col min="6" max="6" width="10.220000267028809" hidden="0" customWidth="1"/>
    <x:col min="7" max="7" width="9.109999656677246" hidden="0" customWidth="1"/>
    <x:col min="8" max="8" width="10.5600004196167" hidden="0" customWidth="1"/>
    <x:col min="9" max="9" width="8.670000076293945" hidden="0" customWidth="1"/>
    <x:col min="10" max="10" width="10.109999656677246" hidden="0" customWidth="1"/>
    <x:col min="11" max="11" width="8.109999656677246" hidden="0" customWidth="1"/>
  </x:cols>
  <x:sheetData>
    <x:row r="1" ht="28" customHeight="1">
      <x:c r="A1" s="19" t="str">
        <x:v>Visits</x:v>
      </x:c>
      <x:c r="B1" s="15"/>
      <x:c r="C1" s="15"/>
      <x:c r="D1" s="15"/>
      <x:c r="E1" s="15"/>
      <x:c r="F1" s="15"/>
      <x:c r="G1" s="15"/>
      <x:c r="H1" s="15"/>
      <x:c r="I1" s="15"/>
      <x:c r="J1" s="15"/>
      <x:c r="K1" s="15"/>
    </x:row>
    <x:row r="2" ht="28" customHeight="1">
      <x:c r="A2" s="16" t="str">
        <x:v>Editable yellow cells are package inputs; green cells are derived or validated outputs.</x:v>
      </x:c>
      <x:c r="B2" s="16"/>
      <x:c r="C2" s="16"/>
      <x:c r="D2" s="16"/>
      <x:c r="E2" s="16"/>
      <x:c r="F2" s="16"/>
      <x:c r="G2" s="16"/>
      <x:c r="H2" s="16"/>
      <x:c r="I2" s="16"/>
      <x:c r="J2" s="16"/>
      <x:c r="K2" s="16"/>
    </x:row>
    <x:row r="3" ht="28" customHeight="1">
      <x:c r="A3" s="17" t="str">
        <x:v>Visit ID</x:v>
      </x:c>
      <x:c r="B3" s="17" t="str">
        <x:v>Reference</x:v>
      </x:c>
      <x:c r="C3" s="17" t="str">
        <x:v>Plan ID</x:v>
      </x:c>
      <x:c r="D3" s="17" t="str">
        <x:v>Factory ID</x:v>
      </x:c>
      <x:c r="E3" s="17" t="str">
        <x:v>Package Version ID</x:v>
      </x:c>
      <x:c r="F3" s="17" t="str">
        <x:v>State</x:v>
      </x:c>
      <x:c r="G3" s="17" t="str">
        <x:v>Latitude</x:v>
      </x:c>
      <x:c r="H3" s="17" t="str">
        <x:v>Longitude</x:v>
      </x:c>
      <x:c r="I3" s="17" t="str">
        <x:v>Planner</x:v>
      </x:c>
      <x:c r="J3" s="17" t="str">
        <x:v>Inspector</x:v>
      </x:c>
      <x:c r="K3" s="17" t="str">
        <x:v>Cohort</x:v>
      </x:c>
    </x:row>
    <x:row r="4">
      <x:c r="A4" s="18" t="str">
        <x:v>75000000-0000-4000-8000-000000000001</x:v>
      </x:c>
      <x:c r="B4" s="18" t="str">
        <x:v>QA-VISIT-001</x:v>
      </x:c>
      <x:c r="C4" s="18" t="str">
        <x:v>74000000-0000-4000-8000-000000000001</x:v>
      </x:c>
      <x:c r="D4" s="18" t="str">
        <x:v>f1000000-0000-4000-8000-000000000001</x:v>
      </x:c>
      <x:c r="E4" s="18" t="str">
        <x:v>73000000-0000-4000-8000-000000000001</x:v>
      </x:c>
      <x:c r="F4" s="18" t="str">
        <x:v>prepared</x:v>
      </x:c>
      <x:c r="G4" s="18" t="n">
        <x:v>24.7136</x:v>
      </x:c>
      <x:c r="H4" s="18" t="n">
        <x:v>46.6753</x:v>
      </x:c>
      <x:c r="I4" s="18" t="str">
        <x:v>planner1</x:v>
      </x:c>
      <x:c r="J4" s="18" t="str">
        <x:v>inspector1</x:v>
      </x:c>
      <x:c r="K4" s="18" t="n">
        <x:v>1</x:v>
      </x:c>
    </x:row>
    <x:row r="5">
      <x:c r="A5" s="18" t="str">
        <x:v>75000000-0000-4000-8000-000000000002</x:v>
      </x:c>
      <x:c r="B5" s="18" t="str">
        <x:v>QA-VISIT-002</x:v>
      </x:c>
      <x:c r="C5" s="18" t="str">
        <x:v>74000000-0000-4000-8000-000000000002</x:v>
      </x:c>
      <x:c r="D5" s="18" t="str">
        <x:v>f1000000-0000-4000-8000-000000000002</x:v>
      </x:c>
      <x:c r="E5" s="18" t="str">
        <x:v>73000000-0000-4000-8000-000000000002</x:v>
      </x:c>
      <x:c r="F5" s="18" t="str">
        <x:v>on_the_way</x:v>
      </x:c>
      <x:c r="G5" s="18" t="n">
        <x:v>26.4207</x:v>
      </x:c>
      <x:c r="H5" s="18" t="n">
        <x:v>50.0888</x:v>
      </x:c>
      <x:c r="I5" s="18" t="str">
        <x:v>planner2</x:v>
      </x:c>
      <x:c r="J5" s="18" t="str">
        <x:v>inspector2</x:v>
      </x:c>
      <x:c r="K5" s="18" t="n">
        <x:v>2</x:v>
      </x:c>
    </x:row>
    <x:row r="6">
      <x:c r="A6" s="18" t="str">
        <x:v>75000000-0000-4000-8000-000000000003</x:v>
      </x:c>
      <x:c r="B6" s="18" t="str">
        <x:v>QA-VISIT-003</x:v>
      </x:c>
      <x:c r="C6" s="18" t="str">
        <x:v>74000000-0000-4000-8000-000000000003</x:v>
      </x:c>
      <x:c r="D6" s="18" t="str">
        <x:v>f1000000-0000-4000-8000-000000000003</x:v>
      </x:c>
      <x:c r="E6" s="18" t="str">
        <x:v>73000000-0000-4000-8000-000000000003</x:v>
      </x:c>
      <x:c r="F6" s="18" t="str">
        <x:v>executing</x:v>
      </x:c>
      <x:c r="G6" s="18" t="n">
        <x:v>21.4858</x:v>
      </x:c>
      <x:c r="H6" s="18" t="n">
        <x:v>39.1925</x:v>
      </x:c>
      <x:c r="I6" s="18" t="str">
        <x:v>planner3</x:v>
      </x:c>
      <x:c r="J6" s="18" t="str">
        <x:v>inspector3</x:v>
      </x:c>
      <x:c r="K6" s="18" t="n">
        <x:v>3</x:v>
      </x:c>
    </x:row>
    <x:row r="7">
      <x:c r="A7" s="18" t="str">
        <x:v>75000000-0000-4000-8000-000000000004</x:v>
      </x:c>
      <x:c r="B7" s="18" t="str">
        <x:v>QA-VISIT-004</x:v>
      </x:c>
      <x:c r="C7" s="18" t="str">
        <x:v>74000000-0000-4000-8000-000000000004</x:v>
      </x:c>
      <x:c r="D7" s="18" t="str">
        <x:v>f1000000-0000-4000-8000-000000000004</x:v>
      </x:c>
      <x:c r="E7" s="18" t="str">
        <x:v>73000000-0000-4000-8000-000000000004</x:v>
      </x:c>
      <x:c r="F7" s="18" t="str">
        <x:v>under_review</x:v>
      </x:c>
      <x:c r="G7" s="18" t="n">
        <x:v>24.5247</x:v>
      </x:c>
      <x:c r="H7" s="18" t="n">
        <x:v>39.5692</x:v>
      </x:c>
      <x:c r="I7" s="18" t="str">
        <x:v>planner4</x:v>
      </x:c>
      <x:c r="J7" s="18" t="str">
        <x:v>inspector4</x:v>
      </x:c>
      <x:c r="K7" s="18" t="n">
        <x:v>4</x:v>
      </x:c>
    </x:row>
    <x:row r="8">
      <x:c r="A8" s="18" t="str">
        <x:v>75000000-0000-4000-8000-000000000005</x:v>
      </x:c>
      <x:c r="B8" s="18" t="str">
        <x:v>QA-VISIT-005</x:v>
      </x:c>
      <x:c r="C8" s="18" t="str">
        <x:v>74000000-0000-4000-8000-000000000005</x:v>
      </x:c>
      <x:c r="D8" s="18" t="str">
        <x:v>f1000000-0000-4000-8000-000000000005</x:v>
      </x:c>
      <x:c r="E8" s="18" t="str">
        <x:v>73000000-0000-4000-8000-000000000005</x:v>
      </x:c>
      <x:c r="F8" s="18" t="str">
        <x:v>under_review</x:v>
      </x:c>
      <x:c r="G8" s="18" t="n">
        <x:v>26.3592</x:v>
      </x:c>
      <x:c r="H8" s="18" t="n">
        <x:v>43.9818</x:v>
      </x:c>
      <x:c r="I8" s="18" t="str">
        <x:v>planner5</x:v>
      </x:c>
      <x:c r="J8" s="18" t="str">
        <x:v>inspector5</x:v>
      </x:c>
      <x:c r="K8" s="18" t="n">
        <x:v>5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09c96af435f8459c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32" hidden="0" customWidth="1"/>
    <x:col min="3" max="3" width="32" hidden="0" customWidth="1"/>
    <x:col min="4" max="4" width="8.670000076293945" hidden="0" customWidth="1"/>
    <x:col min="5" max="5" width="7.670000076293945" hidden="0" customWidth="1"/>
    <x:col min="6" max="6" width="8.109999656677246" hidden="0" customWidth="1"/>
  </x:cols>
  <x:sheetData>
    <x:row r="1" ht="28" customHeight="1">
      <x:c r="A1" s="19" t="str">
        <x:v>Assignments</x:v>
      </x:c>
      <x:c r="B1" s="15"/>
      <x:c r="C1" s="15"/>
      <x:c r="D1" s="15"/>
      <x:c r="E1" s="15"/>
      <x:c r="F1" s="15"/>
    </x:row>
    <x:row r="2" ht="28" customHeight="1">
      <x:c r="A2" s="16" t="str">
        <x:v>Editable yellow cells are package inputs; green cells are derived or validated outputs.</x:v>
      </x:c>
      <x:c r="B2" s="16"/>
      <x:c r="C2" s="16"/>
      <x:c r="D2" s="16"/>
      <x:c r="E2" s="16"/>
      <x:c r="F2" s="16"/>
    </x:row>
    <x:row r="3" ht="28" customHeight="1">
      <x:c r="A3" s="17" t="str">
        <x:v>Assignment ID</x:v>
      </x:c>
      <x:c r="B3" s="17" t="str">
        <x:v>Visit ID</x:v>
      </x:c>
      <x:c r="C3" s="17" t="str">
        <x:v>Inspector User ID</x:v>
      </x:c>
      <x:c r="D3" s="17" t="str">
        <x:v>Method</x:v>
      </x:c>
      <x:c r="E3" s="17" t="str">
        <x:v>Status</x:v>
      </x:c>
      <x:c r="F3" s="17" t="str">
        <x:v>Cohort</x:v>
      </x:c>
    </x:row>
    <x:row r="4">
      <x:c r="A4" s="18" t="str">
        <x:v>76000000-0000-4000-8000-000000000001</x:v>
      </x:c>
      <x:c r="B4" s="18" t="str">
        <x:v>75000000-0000-4000-8000-000000000001</x:v>
      </x:c>
      <x:c r="C4" s="18" t="str">
        <x:v>a4000000-0000-4000-8000-000000000001</x:v>
      </x:c>
      <x:c r="D4" s="18" t="str">
        <x:v>manual</x:v>
      </x:c>
      <x:c r="E4" s="18" t="str">
        <x:v>assigned</x:v>
      </x:c>
      <x:c r="F4" s="18" t="n">
        <x:v>1</x:v>
      </x:c>
    </x:row>
    <x:row r="5">
      <x:c r="A5" s="18" t="str">
        <x:v>76000000-0000-4000-8000-000000000002</x:v>
      </x:c>
      <x:c r="B5" s="18" t="str">
        <x:v>75000000-0000-4000-8000-000000000002</x:v>
      </x:c>
      <x:c r="C5" s="18" t="str">
        <x:v>a4000000-0000-4000-8000-000000000002</x:v>
      </x:c>
      <x:c r="D5" s="18" t="str">
        <x:v>manual</x:v>
      </x:c>
      <x:c r="E5" s="18" t="str">
        <x:v>accepted</x:v>
      </x:c>
      <x:c r="F5" s="18" t="n">
        <x:v>2</x:v>
      </x:c>
    </x:row>
    <x:row r="6">
      <x:c r="A6" s="18" t="str">
        <x:v>76000000-0000-4000-8000-000000000003</x:v>
      </x:c>
      <x:c r="B6" s="18" t="str">
        <x:v>75000000-0000-4000-8000-000000000003</x:v>
      </x:c>
      <x:c r="C6" s="18" t="str">
        <x:v>a4000000-0000-4000-8000-000000000003</x:v>
      </x:c>
      <x:c r="D6" s="18" t="str">
        <x:v>manual</x:v>
      </x:c>
      <x:c r="E6" s="18" t="str">
        <x:v>accepted</x:v>
      </x:c>
      <x:c r="F6" s="18" t="n">
        <x:v>3</x:v>
      </x:c>
    </x:row>
    <x:row r="7">
      <x:c r="A7" s="18" t="str">
        <x:v>76000000-0000-4000-8000-000000000004</x:v>
      </x:c>
      <x:c r="B7" s="18" t="str">
        <x:v>75000000-0000-4000-8000-000000000004</x:v>
      </x:c>
      <x:c r="C7" s="18" t="str">
        <x:v>a4000000-0000-4000-8000-000000000004</x:v>
      </x:c>
      <x:c r="D7" s="18" t="str">
        <x:v>manual</x:v>
      </x:c>
      <x:c r="E7" s="18" t="str">
        <x:v>accepted</x:v>
      </x:c>
      <x:c r="F7" s="18" t="n">
        <x:v>4</x:v>
      </x:c>
    </x:row>
    <x:row r="8">
      <x:c r="A8" s="18" t="str">
        <x:v>76000000-0000-4000-8000-000000000005</x:v>
      </x:c>
      <x:c r="B8" s="18" t="str">
        <x:v>75000000-0000-4000-8000-000000000005</x:v>
      </x:c>
      <x:c r="C8" s="18" t="str">
        <x:v>a4000000-0000-4000-8000-000000000005</x:v>
      </x:c>
      <x:c r="D8" s="18" t="str">
        <x:v>manual</x:v>
      </x:c>
      <x:c r="E8" s="18" t="str">
        <x:v>accepted</x:v>
      </x:c>
      <x:c r="F8" s="18" t="n">
        <x:v>5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48902a7d58e447b1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32" hidden="0" customWidth="1"/>
    <x:col min="3" max="3" width="32" hidden="0" customWidth="1"/>
    <x:col min="4" max="4" width="10.220000267028809" hidden="0" customWidth="1"/>
    <x:col min="5" max="5" width="15.4399995803833" hidden="0" customWidth="1"/>
    <x:col min="6" max="6" width="10.220000267028809" hidden="0" customWidth="1"/>
    <x:col min="7" max="7" width="8.109999656677246" hidden="0" customWidth="1"/>
  </x:cols>
  <x:sheetData>
    <x:row r="1" ht="28" customHeight="1">
      <x:c r="A1" s="19" t="str">
        <x:v>Inspection Data</x:v>
      </x:c>
      <x:c r="B1" s="15"/>
      <x:c r="C1" s="15"/>
      <x:c r="D1" s="15"/>
      <x:c r="E1" s="15"/>
      <x:c r="F1" s="15"/>
      <x:c r="G1" s="15"/>
    </x:row>
    <x:row r="2" ht="28" customHeight="1">
      <x:c r="A2" s="16" t="str">
        <x:v>Editable yellow cells are package inputs; green cells are derived or validated outputs.</x:v>
      </x:c>
      <x:c r="B2" s="16"/>
      <x:c r="C2" s="16"/>
      <x:c r="D2" s="16"/>
      <x:c r="E2" s="16"/>
      <x:c r="F2" s="16"/>
      <x:c r="G2" s="16"/>
    </x:row>
    <x:row r="3" ht="28" customHeight="1">
      <x:c r="A3" s="17" t="str">
        <x:v>Inspection ID</x:v>
      </x:c>
      <x:c r="B3" s="17" t="str">
        <x:v>Visit ID</x:v>
      </x:c>
      <x:c r="C3" s="17" t="str">
        <x:v>Package Version ID</x:v>
      </x:c>
      <x:c r="D3" s="17" t="str">
        <x:v>Lifecycle</x:v>
      </x:c>
      <x:c r="E3" s="17" t="str">
        <x:v>Response</x:v>
      </x:c>
      <x:c r="F3" s="17" t="str">
        <x:v>Complete</x:v>
      </x:c>
      <x:c r="G3" s="17" t="str">
        <x:v>Cohort</x:v>
      </x:c>
    </x:row>
    <x:row r="4">
      <x:c r="A4" s="18" t="str">
        <x:v>77000000-0000-4000-8000-000000000003</x:v>
      </x:c>
      <x:c r="B4" s="18" t="str">
        <x:v>75000000-0000-4000-8000-000000000003</x:v>
      </x:c>
      <x:c r="C4" s="18" t="str">
        <x:v>73000000-0000-4000-8000-000000000003</x:v>
      </x:c>
      <x:c r="D4" s="18" t="str">
        <x:v>in_progress</x:v>
      </x:c>
      <x:c r="E4" s="18" t="str">
        <x:v>compliant</x:v>
      </x:c>
      <x:c r="F4" s="21" t="b">
        <x:v>1</x:v>
      </x:c>
      <x:c r="G4" s="18" t="n">
        <x:v>3</x:v>
      </x:c>
    </x:row>
    <x:row r="5">
      <x:c r="A5" s="18" t="str">
        <x:v>77000000-0000-4000-8000-000000000004</x:v>
      </x:c>
      <x:c r="B5" s="18" t="str">
        <x:v>75000000-0000-4000-8000-000000000004</x:v>
      </x:c>
      <x:c r="C5" s="18" t="str">
        <x:v>73000000-0000-4000-8000-000000000004</x:v>
      </x:c>
      <x:c r="D5" s="18" t="str">
        <x:v>approved</x:v>
      </x:c>
      <x:c r="E5" s="18" t="str">
        <x:v>compliant_corrected</x:v>
      </x:c>
      <x:c r="F5" s="21" t="b">
        <x:v>1</x:v>
      </x:c>
      <x:c r="G5" s="18" t="n">
        <x:v>4</x:v>
      </x:c>
    </x:row>
    <x:row r="6">
      <x:c r="A6" s="18" t="str">
        <x:v>77000000-0000-4000-8000-000000000005</x:v>
      </x:c>
      <x:c r="B6" s="18" t="str">
        <x:v>75000000-0000-4000-8000-000000000005</x:v>
      </x:c>
      <x:c r="C6" s="18" t="str">
        <x:v>73000000-0000-4000-8000-000000000005</x:v>
      </x:c>
      <x:c r="D6" s="18" t="str">
        <x:v>under_review</x:v>
      </x:c>
      <x:c r="E6" s="18" t="str">
        <x:v>compliant</x:v>
      </x:c>
      <x:c r="F6" s="21" t="b">
        <x:v>1</x:v>
      </x:c>
      <x:c r="G6" s="18" t="n">
        <x:v>5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2e3466ada3c94389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670000076293945" hidden="0" customWidth="1"/>
    <x:col min="2" max="2" width="32" hidden="0" customWidth="1"/>
    <x:col min="3" max="3" width="32" hidden="0" customWidth="1"/>
    <x:col min="4" max="4" width="32" hidden="0" customWidth="1"/>
    <x:col min="5" max="5" width="9" hidden="0" customWidth="1"/>
    <x:col min="6" max="6" width="16" hidden="0" customWidth="1"/>
  </x:cols>
  <x:sheetData>
    <x:row r="1" ht="28" customHeight="1">
      <x:c r="A1" s="19" t="str">
        <x:v>Findings Reports Evidence</x:v>
      </x:c>
      <x:c r="B1" s="15"/>
      <x:c r="C1" s="15"/>
      <x:c r="D1" s="15"/>
      <x:c r="E1" s="15"/>
      <x:c r="F1" s="15"/>
    </x:row>
    <x:row r="2" ht="28" customHeight="1">
      <x:c r="A2" s="16" t="str">
        <x:v>Editable yellow cells are package inputs; green cells are derived or validated outputs.</x:v>
      </x:c>
      <x:c r="B2" s="16"/>
      <x:c r="C2" s="16"/>
      <x:c r="D2" s="16"/>
      <x:c r="E2" s="16"/>
      <x:c r="F2" s="16"/>
    </x:row>
    <x:row r="3" ht="28" customHeight="1">
      <x:c r="A3" s="17" t="str">
        <x:v>Record Type</x:v>
      </x:c>
      <x:c r="B3" s="17" t="str">
        <x:v>Record ID</x:v>
      </x:c>
      <x:c r="C3" s="17" t="str">
        <x:v>Inspection ID</x:v>
      </x:c>
      <x:c r="D3" s="17" t="str">
        <x:v>Description / Path</x:v>
      </x:c>
      <x:c r="E3" s="17" t="str">
        <x:v>Severity</x:v>
      </x:c>
      <x:c r="F3" s="17" t="str">
        <x:v>SHA-256 / Status</x:v>
      </x:c>
    </x:row>
    <x:row r="4">
      <x:c r="A4" s="18" t="str">
        <x:v>Finding</x:v>
      </x:c>
      <x:c r="B4" s="18" t="str">
        <x:v>79000000-0000-4000-8000-000000000004</x:v>
      </x:c>
      <x:c r="C4" s="18" t="str">
        <x:v>77000000-0000-4000-8000-000000000004</x:v>
      </x:c>
      <x:c r="D4" s="18" t="str">
        <x:v>Fictitious obstruction documented for correction.</x:v>
      </x:c>
      <x:c r="E4" s="18" t="str">
        <x:v>minor</x:v>
      </x:c>
      <x:c r="F4" s="18" t="str">
        <x:v>recorded</x:v>
      </x:c>
    </x:row>
    <x:row r="5">
      <x:c r="A5" s="18" t="str">
        <x:v>Evidence metadata</x:v>
      </x:c>
      <x:c r="B5" s="18" t="str">
        <x:v>7a000000-0000-4000-8000-000000000004</x:v>
      </x:c>
      <x:c r="C5" s="18" t="str">
        <x:v>77000000-0000-4000-8000-000000000004</x:v>
      </x:c>
      <x:c r="D5" s="18" t="str">
        <x:v>local-test-data-v1/cohort-4/finding-photo.jpg</x:v>
      </x:c>
      <x:c r="E5" s="18" t="str">
        <x:v>n/a</x:v>
      </x:c>
      <x:c r="F5" s="18" t="str">
        <x:v>4444444444444444444444444444444444444444444444444444444444444444</x:v>
      </x:c>
    </x:row>
    <x:row r="6">
      <x:c r="A6" s="18" t="str">
        <x:v>Submission version</x:v>
      </x:c>
      <x:c r="B6" s="18" t="str">
        <x:v>local-test-data-v1-cohort4-v1</x:v>
      </x:c>
      <x:c r="C6" s="18" t="str">
        <x:v>77000000-0000-4000-8000-000000000004</x:v>
      </x:c>
      <x:c r="D6" s="18" t="str">
        <x:v>Initial immutable submission snapshot</x:v>
      </x:c>
      <x:c r="E6" s="18" t="str">
        <x:v>v1</x:v>
      </x:c>
      <x:c r="F6" s="18" t="str">
        <x:v>immutable</x:v>
      </x:c>
    </x:row>
    <x:row r="7">
      <x:c r="A7" s="18" t="str">
        <x:v>Review</x:v>
      </x:c>
      <x:c r="B7" s="18" t="str">
        <x:v>cohort4-v1-return</x:v>
      </x:c>
      <x:c r="C7" s="18" t="str">
        <x:v>77000000-0000-4000-8000-000000000004</x:v>
      </x:c>
      <x:c r="D7" s="18" t="str">
        <x:v>Supervisor returned safety section for correction</x:v>
      </x:c>
      <x:c r="E7" s="18" t="str">
        <x:v>v1</x:v>
      </x:c>
      <x:c r="F7" s="18" t="str">
        <x:v>returned</x:v>
      </x:c>
    </x:row>
    <x:row r="8">
      <x:c r="A8" s="18" t="str">
        <x:v>Submission version</x:v>
      </x:c>
      <x:c r="B8" s="18" t="str">
        <x:v>local-test-data-v1-cohort4-v2</x:v>
      </x:c>
      <x:c r="C8" s="18" t="str">
        <x:v>77000000-0000-4000-8000-000000000004</x:v>
      </x:c>
      <x:c r="D8" s="18" t="str">
        <x:v>Corrected immutable submission snapshot</x:v>
      </x:c>
      <x:c r="E8" s="18" t="str">
        <x:v>v2</x:v>
      </x:c>
      <x:c r="F8" s="18" t="str">
        <x:v>immutable</x:v>
      </x:c>
    </x:row>
    <x:row r="9">
      <x:c r="A9" s="18" t="str">
        <x:v>Review</x:v>
      </x:c>
      <x:c r="B9" s="18" t="str">
        <x:v>cohort4-v2-approve</x:v>
      </x:c>
      <x:c r="C9" s="18" t="str">
        <x:v>77000000-0000-4000-8000-000000000004</x:v>
      </x:c>
      <x:c r="D9" s="18" t="str">
        <x:v>Supervisor approved corrected submission</x:v>
      </x:c>
      <x:c r="E9" s="18" t="str">
        <x:v>v2</x:v>
      </x:c>
      <x:c r="F9" s="18" t="str">
        <x:v>approved</x:v>
      </x:c>
    </x:row>
    <x:row r="10">
      <x:c r="A10" s="18" t="str">
        <x:v>Submission version</x:v>
      </x:c>
      <x:c r="B10" s="18" t="str">
        <x:v>local-test-data-v1-cohort5-v1</x:v>
      </x:c>
      <x:c r="C10" s="18" t="str">
        <x:v>77000000-0000-4000-8000-000000000005</x:v>
      </x:c>
      <x:c r="D10" s="18" t="str">
        <x:v>Review-ready immutable submission snapshot</x:v>
      </x:c>
      <x:c r="E10" s="18" t="str">
        <x:v>v1</x:v>
      </x:c>
      <x:c r="F10" s="18" t="str">
        <x:v>immutable</x:v>
      </x:c>
    </x:row>
    <x:row r="11">
      <x:c r="A11" s="18" t="str">
        <x:v>Review</x:v>
      </x:c>
      <x:c r="B11" s="18" t="str">
        <x:v>cohort5-v1-pending</x:v>
      </x:c>
      <x:c r="C11" s="18" t="str">
        <x:v>77000000-0000-4000-8000-000000000005</x:v>
      </x:c>
      <x:c r="D11" s="18" t="str">
        <x:v>Open supervisor review</x:v>
      </x:c>
      <x:c r="E11" s="18" t="str">
        <x:v>v1</x:v>
      </x:c>
      <x:c r="F11" s="18" t="str">
        <x:v>under_review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6e7693d0c0cd41e9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.109999656677246" hidden="0" customWidth="1"/>
    <x:col min="2" max="2" width="7.670000076293945" hidden="0" customWidth="1"/>
    <x:col min="3" max="3" width="8.670000076293945" hidden="0" customWidth="1"/>
    <x:col min="4" max="4" width="11.109999656677246" hidden="0" customWidth="1"/>
    <x:col min="5" max="5" width="10.109999656677246" hidden="0" customWidth="1"/>
    <x:col min="6" max="6" width="31.670000076293945" hidden="0" customWidth="1"/>
    <x:col min="7" max="7" width="32" hidden="0" customWidth="1"/>
    <x:col min="8" max="8" width="32" hidden="0" customWidth="1"/>
    <x:col min="9" max="9" width="22.110000610351562" hidden="0" customWidth="1"/>
  </x:cols>
  <x:sheetData>
    <x:row r="1" ht="28" customHeight="1">
      <x:c r="A1" s="19" t="str">
        <x:v>Relationship Matrix</x:v>
      </x:c>
      <x:c r="B1" s="15"/>
      <x:c r="C1" s="15"/>
      <x:c r="D1" s="15"/>
      <x:c r="E1" s="15"/>
      <x:c r="F1" s="15"/>
      <x:c r="G1" s="15"/>
      <x:c r="H1" s="15"/>
      <x:c r="I1" s="15"/>
    </x:row>
    <x:row r="2" ht="28" customHeight="1">
      <x:c r="A2" s="16" t="str">
        <x:v>Editable yellow cells are package inputs; green cells are derived or validated outputs.</x:v>
      </x:c>
      <x:c r="B2" s="16"/>
      <x:c r="C2" s="16"/>
      <x:c r="D2" s="16"/>
      <x:c r="E2" s="16"/>
      <x:c r="F2" s="16"/>
      <x:c r="G2" s="16"/>
      <x:c r="H2" s="16"/>
      <x:c r="I2" s="16"/>
    </x:row>
    <x:row r="3" ht="28" customHeight="1">
      <x:c r="A3" s="17" t="str">
        <x:v>Cohort</x:v>
      </x:c>
      <x:c r="B3" s="17" t="str">
        <x:v>Admin</x:v>
      </x:c>
      <x:c r="C3" s="17" t="str">
        <x:v>Planner</x:v>
      </x:c>
      <x:c r="D3" s="17" t="str">
        <x:v>Supervisor</x:v>
      </x:c>
      <x:c r="E3" s="17" t="str">
        <x:v>Inspector</x:v>
      </x:c>
      <x:c r="F3" s="17" t="str">
        <x:v>Factory</x:v>
      </x:c>
      <x:c r="G3" s="17" t="str">
        <x:v>Plan</x:v>
      </x:c>
      <x:c r="H3" s="17" t="str">
        <x:v>Visit</x:v>
      </x:c>
      <x:c r="I3" s="17" t="str">
        <x:v>Scenario</x:v>
      </x:c>
    </x:row>
    <x:row r="4">
      <x:c r="A4" s="18" t="n">
        <x:v>1</x:v>
      </x:c>
      <x:c r="B4" s="18" t="str">
        <x:v>admin1</x:v>
      </x:c>
      <x:c r="C4" s="18" t="str">
        <x:v>planner1</x:v>
      </x:c>
      <x:c r="D4" s="18" t="str">
        <x:v>supervisor1</x:v>
      </x:c>
      <x:c r="E4" s="18" t="str">
        <x:v>inspector1</x:v>
      </x:c>
      <x:c r="F4" s="18" t="str">
        <x:v>f1000000-0000-4000-8000-000000000001</x:v>
      </x:c>
      <x:c r="G4" s="18" t="str">
        <x:v>74000000-0000-4000-8000-000000000001</x:v>
      </x:c>
      <x:c r="H4" s="18" t="str">
        <x:v>75000000-0000-4000-8000-000000000001</x:v>
      </x:c>
      <x:c r="I4" s="18" t="str">
        <x:v>scheduled</x:v>
      </x:c>
    </x:row>
    <x:row r="5">
      <x:c r="A5" s="18" t="n">
        <x:v>2</x:v>
      </x:c>
      <x:c r="B5" s="18" t="str">
        <x:v>admin2</x:v>
      </x:c>
      <x:c r="C5" s="18" t="str">
        <x:v>planner2</x:v>
      </x:c>
      <x:c r="D5" s="18" t="str">
        <x:v>supervisor2</x:v>
      </x:c>
      <x:c r="E5" s="18" t="str">
        <x:v>inspector2</x:v>
      </x:c>
      <x:c r="F5" s="18" t="str">
        <x:v>f1000000-0000-4000-8000-000000000002</x:v>
      </x:c>
      <x:c r="G5" s="18" t="str">
        <x:v>74000000-0000-4000-8000-000000000002</x:v>
      </x:c>
      <x:c r="H5" s="18" t="str">
        <x:v>75000000-0000-4000-8000-000000000002</x:v>
      </x:c>
      <x:c r="I5" s="18" t="str">
        <x:v>assigned_travel</x:v>
      </x:c>
    </x:row>
    <x:row r="6">
      <x:c r="A6" s="18" t="n">
        <x:v>3</x:v>
      </x:c>
      <x:c r="B6" s="18" t="str">
        <x:v>admin3</x:v>
      </x:c>
      <x:c r="C6" s="18" t="str">
        <x:v>planner3</x:v>
      </x:c>
      <x:c r="D6" s="18" t="str">
        <x:v>supervisor3</x:v>
      </x:c>
      <x:c r="E6" s="18" t="str">
        <x:v>inspector3</x:v>
      </x:c>
      <x:c r="F6" s="18" t="str">
        <x:v>f1000000-0000-4000-8000-000000000003</x:v>
      </x:c>
      <x:c r="G6" s="18" t="str">
        <x:v>74000000-0000-4000-8000-000000000003</x:v>
      </x:c>
      <x:c r="H6" s="18" t="str">
        <x:v>75000000-0000-4000-8000-000000000003</x:v>
      </x:c>
      <x:c r="I6" s="18" t="str">
        <x:v>checked_in_executing</x:v>
      </x:c>
    </x:row>
    <x:row r="7">
      <x:c r="A7" s="18" t="n">
        <x:v>4</x:v>
      </x:c>
      <x:c r="B7" s="18" t="str">
        <x:v>admin4</x:v>
      </x:c>
      <x:c r="C7" s="18" t="str">
        <x:v>planner4</x:v>
      </x:c>
      <x:c r="D7" s="18" t="str">
        <x:v>supervisor4</x:v>
      </x:c>
      <x:c r="E7" s="18" t="str">
        <x:v>inspector4</x:v>
      </x:c>
      <x:c r="F7" s="18" t="str">
        <x:v>f1000000-0000-4000-8000-000000000004</x:v>
      </x:c>
      <x:c r="G7" s="18" t="str">
        <x:v>74000000-0000-4000-8000-000000000004</x:v>
      </x:c>
      <x:c r="H7" s="18" t="str">
        <x:v>75000000-0000-4000-8000-000000000004</x:v>
      </x:c>
      <x:c r="I7" s="18" t="str">
        <x:v>returned_corrected_approved</x:v>
      </x:c>
    </x:row>
    <x:row r="8">
      <x:c r="A8" s="18" t="n">
        <x:v>5</x:v>
      </x:c>
      <x:c r="B8" s="18" t="str">
        <x:v>admin5</x:v>
      </x:c>
      <x:c r="C8" s="18" t="str">
        <x:v>planner5</x:v>
      </x:c>
      <x:c r="D8" s="18" t="str">
        <x:v>supervisor5</x:v>
      </x:c>
      <x:c r="E8" s="18" t="str">
        <x:v>inspector5</x:v>
      </x:c>
      <x:c r="F8" s="18" t="str">
        <x:v>f1000000-0000-4000-8000-000000000005</x:v>
      </x:c>
      <x:c r="G8" s="18" t="str">
        <x:v>74000000-0000-4000-8000-000000000005</x:v>
      </x:c>
      <x:c r="H8" s="18" t="str">
        <x:v>75000000-0000-4000-8000-000000000005</x:v>
      </x:c>
      <x:c r="I8" s="18" t="str">
        <x:v>submitted_under_review</x:v>
      </x:c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13bc69a397f74d99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4.220000267028809" hidden="0" customWidth="1"/>
    <x:col min="3" max="3" width="11.890000343322754" hidden="0" customWidth="1"/>
    <x:col min="4" max="4" width="16.329999923706055" hidden="0" customWidth="1"/>
    <x:col min="5" max="5" width="32" hidden="0" customWidth="1"/>
  </x:cols>
  <x:sheetData>
    <x:row r="1" ht="28" customHeight="1">
      <x:c r="A1" s="19" t="str">
        <x:v>Data Dictionary</x:v>
      </x:c>
      <x:c r="B1" s="15"/>
      <x:c r="C1" s="15"/>
      <x:c r="D1" s="15"/>
      <x:c r="E1" s="15"/>
    </x:row>
    <x:row r="2" ht="28" customHeight="1">
      <x:c r="A2" s="16" t="str">
        <x:v>Editable yellow cells are package inputs; green cells are derived or validated outputs.</x:v>
      </x:c>
      <x:c r="B2" s="16"/>
      <x:c r="C2" s="16"/>
      <x:c r="D2" s="16"/>
      <x:c r="E2" s="16"/>
    </x:row>
    <x:row r="3" ht="28" customHeight="1">
      <x:c r="A3" s="17" t="str">
        <x:v>Sheet</x:v>
      </x:c>
      <x:c r="B3" s="17" t="str">
        <x:v>Field</x:v>
      </x:c>
      <x:c r="C3" s="17" t="str">
        <x:v>Type</x:v>
      </x:c>
      <x:c r="D3" s="17" t="str">
        <x:v>Required</x:v>
      </x:c>
      <x:c r="E3" s="17" t="str">
        <x:v>Definition</x:v>
      </x:c>
    </x:row>
    <x:row r="4">
      <x:c r="A4" s="18" t="str">
        <x:v>Accounts</x:v>
      </x:c>
      <x:c r="B4" s="18" t="str">
        <x:v>Username</x:v>
      </x:c>
      <x:c r="C4" s="18" t="str">
        <x:v>text</x:v>
      </x:c>
      <x:c r="D4" s="18" t="str">
        <x:v>Yes</x:v>
      </x:c>
      <x:c r="E4" s="18" t="str">
        <x:v>User-visible alias; hidden email is Auth transport only</x:v>
      </x:c>
    </x:row>
    <x:row r="5">
      <x:c r="A5" s="18" t="str">
        <x:v>Accounts</x:v>
      </x:c>
      <x:c r="B5" s="18" t="str">
        <x:v>Role Grants</x:v>
      </x:c>
      <x:c r="C5" s="18" t="str">
        <x:v>enum list</x:v>
      </x:c>
      <x:c r="D5" s="18" t="str">
        <x:v>Boundary aware</x:v>
      </x:c>
      <x:c r="E5" s="18" t="str">
        <x:v>Canonical role grant(s), or none for the no-workspace refusal persona</x:v>
      </x:c>
    </x:row>
    <x:row r="6">
      <x:c r="A6" s="18" t="str">
        <x:v>Establishments</x:v>
      </x:c>
      <x:c r="B6" s="18" t="str">
        <x:v>Provenance</x:v>
      </x:c>
      <x:c r="C6" s="18" t="str">
        <x:v>text</x:v>
      </x:c>
      <x:c r="D6" s="18" t="str">
        <x:v>Yes</x:v>
      </x:c>
      <x:c r="E6" s="18" t="str">
        <x:v>Exact batch ownership marker</x:v>
      </x:c>
    </x:row>
    <x:row r="7">
      <x:c r="A7" s="18" t="str">
        <x:v>Visits</x:v>
      </x:c>
      <x:c r="B7" s="18" t="str">
        <x:v>State</x:v>
      </x:c>
      <x:c r="C7" s="18" t="str">
        <x:v>governed enum</x:v>
      </x:c>
      <x:c r="D7" s="18" t="str">
        <x:v>Yes</x:v>
      </x:c>
      <x:c r="E7" s="18" t="str">
        <x:v>Current operational_state value</x:v>
      </x:c>
    </x:row>
    <x:row r="8">
      <x:c r="A8" s="18" t="str">
        <x:v>Visits</x:v>
      </x:c>
      <x:c r="B8" s="18" t="str">
        <x:v>Latitude/Longitude</x:v>
      </x:c>
      <x:c r="C8" s="18" t="str">
        <x:v>decimal</x:v>
      </x:c>
      <x:c r="D8" s="18" t="str">
        <x:v>Yes</x:v>
      </x:c>
      <x:c r="E8" s="18" t="str">
        <x:v>Plausible Saudi coordinates</x:v>
      </x:c>
    </x:row>
    <x:row r="9">
      <x:c r="A9" s="18" t="str">
        <x:v>Findings Reports Evidence</x:v>
      </x:c>
      <x:c r="B9" s="18" t="str">
        <x:v>SHA-256</x:v>
      </x:c>
      <x:c r="C9" s="18" t="str">
        <x:v>text</x:v>
      </x:c>
      <x:c r="D9" s="18" t="str">
        <x:v>When evidence exists</x:v>
      </x:c>
      <x:c r="E9" s="18" t="str">
        <x:v>Metadata digest; no real image in workbook</x:v>
      </x:c>
    </x:row>
  </x:sheetData>
  <x:mergeCells>
    <x:mergeCell ref="A1:E1"/>
    <x:mergeCell ref="A2:E2"/>
  </x:mergeCells>
  <x:pageMargins left="0.7" right="0.7" top="0.75" bottom="0.75" header="0.3" footer="0.3"/>
  <x:tableParts count="1">
    <x:tablePart xmlns:r="http://schemas.openxmlformats.org/officeDocument/2006/relationships" r:id="R954ad43bdd244055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.329999923706055" hidden="0" customWidth="1"/>
    <x:col min="2" max="2" width="21.219999313354492" hidden="0" customWidth="1"/>
    <x:col min="3" max="3" width="28.329999923706055" hidden="0" customWidth="1"/>
    <x:col min="4" max="4" width="14.4399995803833" hidden="0" customWidth="1"/>
  </x:cols>
  <x:sheetData>
    <x:row r="1" ht="28" customHeight="1">
      <x:c r="A1" s="19" t="str">
        <x:v>Import Order</x:v>
      </x:c>
      <x:c r="B1" s="15"/>
      <x:c r="C1" s="15"/>
      <x:c r="D1" s="15"/>
    </x:row>
    <x:row r="2" ht="28" customHeight="1">
      <x:c r="A2" s="16" t="str">
        <x:v>Editable yellow cells are package inputs; green cells are derived or validated outputs.</x:v>
      </x:c>
      <x:c r="B2" s="16"/>
      <x:c r="C2" s="16"/>
      <x:c r="D2" s="16"/>
    </x:row>
    <x:row r="3" ht="28" customHeight="1">
      <x:c r="A3" s="17" t="str">
        <x:v>Step</x:v>
      </x:c>
      <x:c r="B3" s="17" t="str">
        <x:v>Entity</x:v>
      </x:c>
      <x:c r="C3" s="17" t="str">
        <x:v>Action</x:v>
      </x:c>
      <x:c r="D3" s="17" t="str">
        <x:v>Rollback Order</x:v>
      </x:c>
    </x:row>
    <x:row r="4">
      <x:c r="A4" s="18" t="str">
        <x:v>01</x:v>
      </x:c>
      <x:c r="B4" s="18" t="str">
        <x:v>Environment</x:v>
      </x:c>
      <x:c r="C4" s="18" t="str">
        <x:v>Guard loopback + production refusal</x:v>
      </x:c>
      <x:c r="D4" s="18" t="str">
        <x:v>n/a</x:v>
      </x:c>
    </x:row>
    <x:row r="5">
      <x:c r="A5" s="18" t="str">
        <x:v>02</x:v>
      </x:c>
      <x:c r="B5" s="18" t="str">
        <x:v>Roles</x:v>
      </x:c>
      <x:c r="C5" s="18" t="str">
        <x:v>Verify/upsert governed four roles</x:v>
      </x:c>
      <x:c r="D5" s="18" t="str">
        <x:v>16</x:v>
      </x:c>
    </x:row>
    <x:row r="6">
      <x:c r="A6" s="18" t="str">
        <x:v>03</x:v>
      </x:c>
      <x:c r="B6" s="18" t="str">
        <x:v>Auth users</x:v>
      </x:c>
      <x:c r="C6" s="18" t="str">
        <x:v>Upsert 22 deterministic local identities</x:v>
      </x:c>
      <x:c r="D6" s="18" t="str">
        <x:v>15</x:v>
      </x:c>
    </x:row>
    <x:row r="7">
      <x:c r="A7" s="18" t="str">
        <x:v>04</x:v>
      </x:c>
      <x:c r="B7" s="18" t="str">
        <x:v>Profiles and grants</x:v>
      </x:c>
      <x:c r="C7" s="18" t="str">
        <x:v>Upsert profiles and role rows</x:v>
      </x:c>
      <x:c r="D7" s="18" t="str">
        <x:v>14</x:v>
      </x:c>
    </x:row>
    <x:row r="8">
      <x:c r="A8" s="18" t="str">
        <x:v>05</x:v>
      </x:c>
      <x:c r="B8" s="18" t="str">
        <x:v>Establishments and licences</x:v>
      </x:c>
      <x:c r="C8" s="18" t="str">
        <x:v>Upsert master data</x:v>
      </x:c>
      <x:c r="D8" s="18" t="str">
        <x:v>13</x:v>
      </x:c>
    </x:row>
    <x:row r="9">
      <x:c r="A9" s="18" t="str">
        <x:v>06</x:v>
      </x:c>
      <x:c r="B9" s="18" t="str">
        <x:v>Packages and versions</x:v>
      </x:c>
      <x:c r="C9" s="18" t="str">
        <x:v>Upsert form configuration</x:v>
      </x:c>
      <x:c r="D9" s="18" t="str">
        <x:v>12</x:v>
      </x:c>
    </x:row>
    <x:row r="10">
      <x:c r="A10" s="18" t="str">
        <x:v>07</x:v>
      </x:c>
      <x:c r="B10" s="18" t="str">
        <x:v>Plans and visits</x:v>
      </x:c>
      <x:c r="C10" s="18" t="str">
        <x:v>Upsert planning graph</x:v>
      </x:c>
      <x:c r="D10" s="18" t="str">
        <x:v>11</x:v>
      </x:c>
    </x:row>
    <x:row r="11">
      <x:c r="A11" s="18" t="str">
        <x:v>08</x:v>
      </x:c>
      <x:c r="B11" s="18" t="str">
        <x:v>Assignments</x:v>
      </x:c>
      <x:c r="C11" s="18" t="str">
        <x:v>Upsert inspector links</x:v>
      </x:c>
      <x:c r="D11" s="18" t="str">
        <x:v>10</x:v>
      </x:c>
    </x:row>
    <x:row r="12">
      <x:c r="A12" s="18" t="str">
        <x:v>09</x:v>
      </x:c>
      <x:c r="B12" s="18" t="str">
        <x:v>Inspection data</x:v>
      </x:c>
      <x:c r="C12" s="18" t="str">
        <x:v>Upsert mutable execution fixtures</x:v>
      </x:c>
      <x:c r="D12" s="18" t="str">
        <x:v>09</x:v>
      </x:c>
    </x:row>
    <x:row r="13">
      <x:c r="A13" s="18" t="str">
        <x:v>10</x:v>
      </x:c>
      <x:c r="B13" s="18" t="str">
        <x:v>Validation</x:v>
      </x:c>
      <x:c r="C13" s="18" t="str">
        <x:v>Counts, FKs, RLS, coordinates</x:v>
      </x:c>
      <x:c r="D13" s="18" t="str">
        <x:v>n/a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9f31b32a3fae4019"/>
  </x:tableParts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0" hidden="0" customWidth="1"/>
    <x:col min="3" max="3" width="15.5600004196167" hidden="0" customWidth="1"/>
    <x:col min="4" max="4" width="7.670000076293945" hidden="0" customWidth="1"/>
  </x:cols>
  <x:sheetData>
    <x:row r="1" ht="28" customHeight="1">
      <x:c r="A1" s="19" t="str">
        <x:v>Validation Reconciliation</x:v>
      </x:c>
      <x:c r="B1" s="15"/>
      <x:c r="C1" s="15"/>
      <x:c r="D1" s="15"/>
    </x:row>
    <x:row r="2" ht="28" customHeight="1">
      <x:c r="A2" s="16" t="str">
        <x:v>Editable yellow cells are package inputs; green cells are derived or validated outputs.</x:v>
      </x:c>
      <x:c r="B2" s="16"/>
      <x:c r="C2" s="16"/>
      <x:c r="D2" s="16"/>
    </x:row>
    <x:row r="3" ht="28" customHeight="1">
      <x:c r="A3" s="17" t="str">
        <x:v>Check</x:v>
      </x:c>
      <x:c r="B3" s="17" t="str">
        <x:v>Expected</x:v>
      </x:c>
      <x:c r="C3" s="17" t="str">
        <x:v>Formula / Actual</x:v>
      </x:c>
      <x:c r="D3" s="17" t="str">
        <x:v>Status</x:v>
      </x:c>
    </x:row>
    <x:row r="4">
      <x:c r="A4" s="18" t="str">
        <x:v>Accounts</x:v>
      </x:c>
      <x:c r="B4" s="18" t="n">
        <x:v>22</x:v>
      </x:c>
      <x:c r="C4" s="18" t="n">
        <x:f>COUNTA('Accounts'!$A$4:$A$25)</x:f>
        <x:v>22</x:v>
      </x:c>
      <x:c r="D4" s="18" t="str">
        <x:f>IF(B4=C4,"PASS","FAIL")</x:f>
        <x:v>PASS</x:v>
      </x:c>
    </x:row>
    <x:row r="5">
      <x:c r="A5" s="18" t="str">
        <x:v>Profiles</x:v>
      </x:c>
      <x:c r="B5" s="18" t="n">
        <x:v>22</x:v>
      </x:c>
      <x:c r="C5" s="18" t="n">
        <x:f>COUNTA('Profiles'!$A$4:$A$25)</x:f>
        <x:v>22</x:v>
      </x:c>
      <x:c r="D5" s="18" t="str">
        <x:f>IF(B5=C5,"PASS","FAIL")</x:f>
        <x:v>PASS</x:v>
      </x:c>
    </x:row>
    <x:row r="6">
      <x:c r="A6" s="18" t="str">
        <x:v>Establishments</x:v>
      </x:c>
      <x:c r="B6" s="18" t="n">
        <x:v>5</x:v>
      </x:c>
      <x:c r="C6" s="18" t="n">
        <x:f>COUNTA('Establishments'!$A$4:$A$8)</x:f>
        <x:v>5</x:v>
      </x:c>
      <x:c r="D6" s="18" t="str">
        <x:f>IF(B6=C6,"PASS","FAIL")</x:f>
        <x:v>PASS</x:v>
      </x:c>
    </x:row>
    <x:row r="7">
      <x:c r="A7" s="18" t="str">
        <x:v>Licences</x:v>
      </x:c>
      <x:c r="B7" s="18" t="n">
        <x:v>5</x:v>
      </x:c>
      <x:c r="C7" s="18" t="n">
        <x:f>COUNTA('Licences'!$A$4:$A$8)</x:f>
        <x:v>5</x:v>
      </x:c>
      <x:c r="D7" s="18" t="str">
        <x:f>IF(B7=C7,"PASS","FAIL")</x:f>
        <x:v>PASS</x:v>
      </x:c>
    </x:row>
    <x:row r="8">
      <x:c r="A8" s="18" t="str">
        <x:v>Packages</x:v>
      </x:c>
      <x:c r="B8" s="18" t="n">
        <x:v>5</x:v>
      </x:c>
      <x:c r="C8" s="18" t="n">
        <x:f>COUNTA('Packages Templates'!$A$4:$A$8)</x:f>
        <x:v>5</x:v>
      </x:c>
      <x:c r="D8" s="18" t="str">
        <x:f>IF(B8=C8,"PASS","FAIL")</x:f>
        <x:v>PASS</x:v>
      </x:c>
    </x:row>
    <x:row r="9">
      <x:c r="A9" s="18" t="str">
        <x:v>Plans</x:v>
      </x:c>
      <x:c r="B9" s="18" t="n">
        <x:v>5</x:v>
      </x:c>
      <x:c r="C9" s="18" t="n">
        <x:f>COUNTA('Plans'!$A$4:$A$8)</x:f>
        <x:v>5</x:v>
      </x:c>
      <x:c r="D9" s="18" t="str">
        <x:f>IF(B9=C9,"PASS","FAIL")</x:f>
        <x:v>PASS</x:v>
      </x:c>
    </x:row>
    <x:row r="10">
      <x:c r="A10" s="18" t="str">
        <x:v>Visits</x:v>
      </x:c>
      <x:c r="B10" s="18" t="n">
        <x:v>5</x:v>
      </x:c>
      <x:c r="C10" s="18" t="n">
        <x:f>COUNTA('Visits'!$A$4:$A$8)</x:f>
        <x:v>5</x:v>
      </x:c>
      <x:c r="D10" s="18" t="str">
        <x:f>IF(B10=C10,"PASS","FAIL")</x:f>
        <x:v>PASS</x:v>
      </x:c>
    </x:row>
    <x:row r="11">
      <x:c r="A11" s="18" t="str">
        <x:v>Assignments</x:v>
      </x:c>
      <x:c r="B11" s="18" t="n">
        <x:v>5</x:v>
      </x:c>
      <x:c r="C11" s="18" t="n">
        <x:f>COUNTA('Assignments'!$A$4:$A$8)</x:f>
        <x:v>5</x:v>
      </x:c>
      <x:c r="D11" s="18" t="str">
        <x:f>IF(B11=C11,"PASS","FAIL")</x:f>
        <x:v>PASS</x:v>
      </x:c>
    </x:row>
    <x:row r="12">
      <x:c r="A12" s="18" t="str">
        <x:v>Submission versions</x:v>
      </x:c>
      <x:c r="B12" s="18" t="n">
        <x:v>3</x:v>
      </x:c>
      <x:c r="C12" s="18" t="n">
        <x:f>COUNTIF('Findings Reports Evidence'!$A$4:$A$11,"Submission version")</x:f>
        <x:v>3</x:v>
      </x:c>
      <x:c r="D12" s="18" t="str">
        <x:f>IF(B12=C12,"PASS","FAIL")</x:f>
        <x:v>PASS</x:v>
      </x:c>
    </x:row>
    <x:row r="13">
      <x:c r="A13" s="18" t="str">
        <x:v>Reviews</x:v>
      </x:c>
      <x:c r="B13" s="18" t="n">
        <x:v>3</x:v>
      </x:c>
      <x:c r="C13" s="18" t="n">
        <x:f>COUNTIF('Findings Reports Evidence'!$A$4:$A$11,"Review")</x:f>
        <x:v>3</x:v>
      </x:c>
      <x:c r="D13" s="18" t="str">
        <x:f>IF(B13=C13,"PASS","FAIL")</x:f>
        <x:v>PASS</x:v>
      </x:c>
    </x:row>
    <x:row r="14">
      <x:c r="A14" s="18" t="str">
        <x:v>Relationship cohorts</x:v>
      </x:c>
      <x:c r="B14" s="18" t="n">
        <x:v>5</x:v>
      </x:c>
      <x:c r="C14" s="18" t="n">
        <x:f>COUNTA('Relationship Matrix'!$A$4:$A$8)</x:f>
        <x:v>5</x:v>
      </x:c>
      <x:c r="D14" s="18" t="str">
        <x:f>IF(B14=C14,"PASS","FAIL")</x:f>
        <x:v>PASS</x:v>
      </x:c>
    </x:row>
    <x:row r="15">
      <x:c r="A15" s="18" t="str">
        <x:v>Credential value cells</x:v>
      </x:c>
      <x:c r="B15" s="18" t="n">
        <x:v>0</x:v>
      </x:c>
      <x:c r="C15" s="18" t="n">
        <x:v>0</x:v>
      </x:c>
      <x:c r="D15" s="18" t="str">
        <x:v>PASS</x:v>
      </x:c>
    </x:row>
  </x:sheetData>
  <x:mergeCells>
    <x:mergeCell ref="A1:D1"/>
    <x:mergeCell ref="A2:D2"/>
  </x:mergeCells>
  <x:conditionalFormatting sqref="D4:D15">
    <x:cfRule type="containsText" dxfId="0" priority="1" operator="containsText" text="PASS"/>
    <x:cfRule type="containsText" dxfId="1" priority="2" operator="containsText" text="FAIL"/>
  </x:conditionalFormatting>
  <x:pageMargins left="0.7" right="0.7" top="0.75" bottom="0.75" header="0.3" footer="0.3"/>
  <x:tableParts count="1">
    <x:tablePart xmlns:r="http://schemas.openxmlformats.org/officeDocument/2006/relationships" r:id="R09190013ddff411c"/>
  </x:tableParts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.110000610351562" hidden="0" customWidth="1"/>
    <x:col min="2" max="2" width="10" hidden="0" customWidth="1"/>
    <x:col min="3" max="3" width="7.670000076293945" hidden="0" customWidth="1"/>
    <x:col min="4" max="4" width="7.670000076293945" hidden="0" customWidth="1"/>
  </x:cols>
  <x:sheetData>
    <x:row r="1" ht="28" customHeight="1">
      <x:c r="A1" s="19" t="str">
        <x:v>Import Summary</x:v>
      </x:c>
      <x:c r="B1" s="15"/>
      <x:c r="C1" s="15"/>
      <x:c r="D1" s="15"/>
    </x:row>
    <x:row r="2" ht="28" customHeight="1">
      <x:c r="A2" s="16" t="str">
        <x:v>Executive reconciliation for the local-only governed package.</x:v>
      </x:c>
      <x:c r="B2" s="16"/>
      <x:c r="C2" s="16"/>
      <x:c r="D2" s="16"/>
    </x:row>
    <x:row r="3" ht="28" customHeight="1">
      <x:c r="A3" s="17" t="str">
        <x:v>Metric</x:v>
      </x:c>
      <x:c r="B3" s="17" t="str">
        <x:v>Expected</x:v>
      </x:c>
      <x:c r="C3" s="17" t="str">
        <x:v>Actual</x:v>
      </x:c>
      <x:c r="D3" s="17" t="str">
        <x:v>Status</x:v>
      </x:c>
    </x:row>
    <x:row r="4">
      <x:c r="A4" s="18" t="str">
        <x:v>Accounts</x:v>
      </x:c>
      <x:c r="B4" s="18" t="n">
        <x:v>22</x:v>
      </x:c>
      <x:c r="C4" s="18" t="n">
        <x:f>'Validation Reconciliation'!C4</x:f>
        <x:v>22</x:v>
      </x:c>
      <x:c r="D4" s="18" t="str">
        <x:f>IF(B4=C4,"PASS","FAIL")</x:f>
        <x:v>PASS</x:v>
      </x:c>
    </x:row>
    <x:row r="5">
      <x:c r="A5" s="18" t="str">
        <x:v>Cohorts</x:v>
      </x:c>
      <x:c r="B5" s="18" t="n">
        <x:v>5</x:v>
      </x:c>
      <x:c r="C5" s="18" t="n">
        <x:f>'Validation Reconciliation'!C14</x:f>
        <x:v>5</x:v>
      </x:c>
      <x:c r="D5" s="18" t="str">
        <x:f>IF(B5=C5,"PASS","FAIL")</x:f>
        <x:v>PASS</x:v>
      </x:c>
    </x:row>
    <x:row r="6">
      <x:c r="A6" s="18" t="str">
        <x:v>Factories</x:v>
      </x:c>
      <x:c r="B6" s="18" t="n">
        <x:v>5</x:v>
      </x:c>
      <x:c r="C6" s="18" t="n">
        <x:f>'Validation Reconciliation'!C6</x:f>
        <x:v>5</x:v>
      </x:c>
      <x:c r="D6" s="18" t="str">
        <x:f>IF(B6=C6,"PASS","FAIL")</x:f>
        <x:v>PASS</x:v>
      </x:c>
    </x:row>
    <x:row r="7">
      <x:c r="A7" s="18" t="str">
        <x:v>Visits</x:v>
      </x:c>
      <x:c r="B7" s="18" t="n">
        <x:v>5</x:v>
      </x:c>
      <x:c r="C7" s="18" t="n">
        <x:f>'Validation Reconciliation'!C10</x:f>
        <x:v>5</x:v>
      </x:c>
      <x:c r="D7" s="18" t="str">
        <x:f>IF(B7=C7,"PASS","FAIL")</x:f>
        <x:v>PASS</x:v>
      </x:c>
    </x:row>
    <x:row r="8">
      <x:c r="A8" s="18" t="str">
        <x:v>Core validation checks</x:v>
      </x:c>
      <x:c r="B8" s="18" t="n">
        <x:v>12</x:v>
      </x:c>
      <x:c r="C8" s="18" t="n">
        <x:f>COUNTIF('Validation Reconciliation'!$D$4:$D$15,"PASS")</x:f>
        <x:v>12</x:v>
      </x:c>
      <x:c r="D8" s="18" t="str">
        <x:f>IF(B8=C8,"PASS","FAIL")</x:f>
        <x:v>PASS</x:v>
      </x:c>
    </x:row>
  </x:sheetData>
  <x:mergeCells>
    <x:mergeCell ref="A1:D1"/>
    <x:mergeCell ref="A2:D2"/>
  </x:mergeCells>
  <x:conditionalFormatting sqref="D4:D8">
    <x:cfRule type="containsText" dxfId="2" priority="1" operator="containsText" text="PASS"/>
  </x:conditionalFormatting>
  <x:pageMargins left="0.7" right="0.7" top="0.75" bottom="0.75" header="0.3" footer="0.3"/>
  <x:tableParts count="1">
    <x:tablePart xmlns:r="http://schemas.openxmlformats.org/officeDocument/2006/relationships" r:id="Rb6014d4583134c1a"/>
  </x:tableParts>
</x:worksheet>
</file>