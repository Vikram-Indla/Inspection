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e21cf8d55842ad" /></Relationships>
</file>

<file path=xl/workbook.xml><?xml version="1.0" encoding="utf-8"?>
<x:workbook xmlns:x="http://schemas.openxmlformats.org/spreadsheetml/2006/main">
  <x:sheets>
    <x:sheet xmlns:r="http://schemas.openxmlformats.org/officeDocument/2006/relationships" name="START HERE" sheetId="1" r:id="R62b52940e23b425f"/>
    <x:sheet xmlns:r="http://schemas.openxmlformats.org/officeDocument/2006/relationships" name="43 Screen Matrix" sheetId="2" r:id="Ra7ecc62fc2f84f7f"/>
    <x:sheet xmlns:r="http://schemas.openxmlformats.org/officeDocument/2006/relationships" name="Claude Prompts" sheetId="3" r:id="R17b55fe390454cb8"/>
    <x:sheet xmlns:r="http://schemas.openxmlformats.org/officeDocument/2006/relationships" name="Reference Library" sheetId="4" r:id="R4cab6b9fdc3045c6"/>
    <x:sheet xmlns:r="http://schemas.openxmlformats.org/officeDocument/2006/relationships" name="Blind Spots" sheetId="5" r:id="R7cf498f6dde548e2"/>
    <x:sheet xmlns:r="http://schemas.openxmlformats.org/officeDocument/2006/relationships" name="Submission Guide" sheetId="6" r:id="R79001dbdb80c4d47"/>
    <x:sheet xmlns:r="http://schemas.openxmlformats.org/officeDocument/2006/relationships" name="Code Handoff Contract" sheetId="7" r:id="R29d8726f77814f58"/>
    <x:sheet xmlns:r="http://schemas.openxmlformats.org/officeDocument/2006/relationships" name="Scoring Rubric" sheetId="8" r:id="R832fd2b396c74da0"/>
    <x:sheet xmlns:r="http://schemas.openxmlformats.org/officeDocument/2006/relationships" name="Web-First Wave" sheetId="9" r:id="R5befd5057ad04b32"/>
    <x:sheet xmlns:r="http://schemas.openxmlformats.org/officeDocument/2006/relationships" name="Vertical Slice SOP" sheetId="10" r:id="Rc51421ae8c3844c3"/>
    <x:sheet xmlns:r="http://schemas.openxmlformats.org/officeDocument/2006/relationships" name="Shell &amp; Tabs" sheetId="11" r:id="R6252e0cd75f04a9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9">
    <x:font>
      <x:sz val="11"/>
      <x:name val="Carlito"/>
    </x:font>
    <x:font>
      <x:b/>
      <x:sz val="18"/>
      <x:color rgb="FFFFFFFF"/>
      <x:name val="Carlito"/>
    </x:font>
    <x:font>
      <x:b/>
      <x:sz val="11"/>
      <x:color rgb="FF10111F"/>
      <x:name val="Carlito"/>
    </x:font>
    <x:font>
      <x:b/>
      <x:sz val="10"/>
      <x:color rgb="FFFFFFFF"/>
      <x:name val="Carlito"/>
    </x:font>
    <x:font>
      <x:sz val="10"/>
      <x:color rgb="FF10111F"/>
      <x:name val="Carlito"/>
    </x:font>
    <x:font>
      <x:b/>
      <x:sz val="12"/>
      <x:color rgb="FF10111F"/>
      <x:name val="Carlito"/>
    </x:font>
    <x:font>
      <x:sz val="10"/>
      <x:color rgb="FF5F6175"/>
      <x:name val="Carlito"/>
    </x:font>
    <x:font>
      <x:sz val="9"/>
      <x:color rgb="FF17112F"/>
      <x:name val="Carlito"/>
    </x:font>
    <x:font>
      <x:b/>
      <x:sz val="12"/>
      <x:color rgb="FF6D28D9"/>
      <x:name val="Carlito"/>
    </x:font>
  </x:fonts>
  <x:fills count="18">
    <x:fill>
      <x:patternFill patternType="none"/>
    </x:fill>
    <x:fill>
      <x:patternFill patternType="gray125"/>
    </x:fill>
    <x:fill>
      <x:patternFill patternType="solid">
        <x:fgColor rgb="FF17172A"/>
      </x:patternFill>
    </x:fill>
    <x:fill>
      <x:patternFill patternType="solid">
        <x:fgColor rgb="FFEAE6FF"/>
      </x:patternFill>
    </x:fill>
    <x:fill>
      <x:patternFill patternType="solid">
        <x:fgColor rgb="FF6C55F5"/>
      </x:patternFill>
    </x:fill>
    <x:fill>
      <x:patternFill patternType="solid">
        <x:fgColor rgb="FFF6F5FB"/>
      </x:patternFill>
    </x:fill>
    <x:fill>
      <x:patternFill patternType="solid">
        <x:fgColor rgb="FFFFF0CF"/>
      </x:patternFill>
    </x:fill>
    <x:fill>
      <x:patternFill patternType="solid">
        <x:fgColor rgb="FF6D28D9"/>
      </x:patternFill>
    </x:fill>
    <x:fill>
      <x:patternFill patternType="solid">
        <x:fgColor rgb="FFEEF7FA"/>
      </x:patternFill>
    </x:fill>
    <x:fill>
      <x:patternFill patternType="solid">
        <x:fgColor rgb="FFFFFFFF"/>
      </x:patternFill>
    </x:fill>
    <x:fill>
      <x:patternFill patternType="solid">
        <x:fgColor rgb="FF25164D"/>
      </x:patternFill>
    </x:fill>
    <x:fill>
      <x:patternFill patternType="solid">
        <x:fgColor rgb="FFF3E8FF"/>
      </x:patternFill>
    </x:fill>
    <x:fill>
      <x:patternFill patternType="solid">
        <x:fgColor rgb="FFFFF7E6"/>
      </x:patternFill>
    </x:fill>
    <x:fill>
      <x:patternFill patternType="solid">
        <x:fgColor rgb="FF6D28D9"/>
      </x:patternFill>
    </x:fill>
    <x:fill>
      <x:patternFill patternType="solid">
        <x:fgColor rgb="FFFFFFFF"/>
      </x:patternFill>
    </x:fill>
    <x:fill>
      <x:patternFill patternType="solid">
        <x:fgColor rgb="FFF8F7FC"/>
      </x:patternFill>
    </x:fill>
    <x:fill>
      <x:patternFill patternType="solid">
        <x:fgColor rgb="FF25164D"/>
      </x:patternFill>
    </x:fill>
    <x:fill>
      <x:patternFill patternType="solid">
        <x:fgColor rgb="FFF3E8FF"/>
      </x:patternFill>
    </x:fill>
  </x:fills>
  <x:borders count="2">
    <x:border/>
    <x:border>
      <x:left style="thin">
        <x:color rgb="FFD8D5E5"/>
      </x:left>
      <x:right style="thin">
        <x:color rgb="FFD8D5E5"/>
      </x:right>
      <x:top style="thin">
        <x:color rgb="FFD8D5E5"/>
      </x:top>
      <x:bottom style="thin">
        <x:color rgb="FFD8D5E5"/>
      </x:bottom>
    </x:border>
  </x:borders>
  <x:cellStyleXfs count="1">
    <x:xf numFmtId="0" fontId="0" fillId="0" borderId="0"/>
  </x:cellStyleXfs>
  <x:cellXfs count="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7" borderId="1" xfId="0" applyNumberFormat="1" applyFont="1" applyFill="1" applyBorder="1" applyAlignment="1">
      <x:alignment vertical="center" wrapText="1"/>
    </x:xf>
    <x:xf numFmtId="0" fontId="4" fillId="8" borderId="0" xfId="0" applyNumberFormat="1" applyFont="1" applyFill="1" applyBorder="1" applyAlignment="1">
      <x:alignment vertical="top" wrapText="1"/>
    </x:xf>
    <x:xf numFmtId="200" fontId="4" fillId="8"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applyAlignment="1">
      <x:alignment vertical="top" wrapText="1"/>
    </x:xf>
    <x:xf numFmtId="200" fontId="7" fillId="8" borderId="0" xfId="0" applyNumberFormat="1" applyFont="1" applyFill="1" applyBorder="1" applyAlignment="1">
      <x:alignment vertical="top" wrapText="1"/>
    </x:xf>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1" xfId="0" applyNumberFormat="1" applyFont="1" applyFill="1" applyBorder="1" applyAlignment="1">
      <x:alignment vertical="top" wrapText="1"/>
    </x:xf>
    <x:xf numFmtId="200" fontId="7" fillId="8" borderId="1" xfId="0" applyNumberFormat="1" applyFont="1" applyFill="1" applyBorder="1" applyAlignment="1">
      <x:alignment vertical="top" wrapText="1"/>
    </x:xf>
    <x:xf numFmtId="0" fontId="4" fillId="9" borderId="0" xfId="0" applyNumberFormat="1" applyFont="1" applyFill="1" applyBorder="1" applyAlignment="1">
      <x:alignment vertical="top" wrapText="1"/>
    </x:xf>
    <x:xf numFmtId="200" fontId="4" fillId="9" borderId="0" xfId="0" applyNumberFormat="1" applyFont="1" applyFill="1" applyBorder="1" applyAlignment="1">
      <x:alignment vertical="top" wrapText="1"/>
    </x:xf>
    <x:xf numFmtId="0" fontId="0" fillId="9" borderId="0" xfId="0" applyNumberFormat="1" applyFont="1" applyFill="1" applyBorder="1"/>
    <x:xf numFmtId="0" fontId="7" fillId="9" borderId="0" xfId="0" applyNumberFormat="1" applyFont="1" applyFill="1" applyBorder="1" applyAlignment="1">
      <x:alignment vertical="top" wrapText="1"/>
    </x:xf>
    <x:xf numFmtId="200" fontId="7" fillId="9" borderId="0" xfId="0" applyNumberFormat="1" applyFont="1" applyFill="1" applyBorder="1" applyAlignment="1">
      <x:alignment vertical="top" wrapText="1"/>
    </x:xf>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1" xfId="0" applyNumberFormat="1" applyFont="1" applyFill="1" applyBorder="1" applyAlignment="1">
      <x:alignment vertical="top" wrapText="1"/>
    </x:xf>
    <x:xf numFmtId="200" fontId="7" fillId="9" borderId="1" xfId="0" applyNumberFormat="1" applyFont="1" applyFill="1" applyBorder="1" applyAlignment="1">
      <x:alignment vertical="top" wrapText="1"/>
    </x:xf>
    <x:xf numFmtId="0" fontId="1" fillId="10" borderId="0" xfId="0" applyNumberFormat="1" applyFont="1" applyFill="1" applyBorder="1" applyAlignment="1">
      <x:alignment vertical="center"/>
    </x:xf>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0" fillId="12" borderId="0" xfId="0" applyNumberFormat="1" applyFont="1" applyFill="1" applyBorder="1"/>
    <x:xf numFmtId="0" fontId="0" fillId="12" borderId="0" xfId="0" applyNumberFormat="1" applyFont="1" applyFill="1" applyBorder="1" applyAlignment="1">
      <x:alignment wrapText="1"/>
    </x:xf>
    <x:xf numFmtId="0" fontId="0" fillId="12"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13" borderId="1" xfId="0" applyNumberFormat="1" applyFont="1" applyFill="1" applyBorder="1" applyAlignment="1">
      <x:alignment vertical="center" wrapText="1"/>
    </x:xf>
    <x:xf numFmtId="0" fontId="7" fillId="14" borderId="1" xfId="0" applyNumberFormat="1" applyFont="1" applyFill="1" applyBorder="1" applyAlignment="1">
      <x:alignment vertical="top" wrapText="1"/>
    </x:xf>
    <x:xf numFmtId="200" fontId="7" fillId="14" borderId="1" xfId="0" applyNumberFormat="1" applyFont="1" applyFill="1" applyBorder="1" applyAlignment="1">
      <x:alignment vertical="top"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14" borderId="1" xfId="0" applyNumberFormat="1" applyFont="1" applyFill="1" applyBorder="1" applyAlignment="1">
      <x:alignment vertical="top" wrapText="1"/>
    </x:xf>
    <x:xf numFmtId="0" fontId="7" fillId="15" borderId="1" xfId="0" applyNumberFormat="1" applyFont="1" applyFill="1" applyBorder="1" applyAlignment="1">
      <x:alignment vertical="top" wrapText="1"/>
    </x:xf>
    <x:xf numFmtId="200" fontId="7" fillId="15" borderId="1" xfId="0" applyNumberFormat="1" applyFont="1" applyFill="1" applyBorder="1" applyAlignment="1">
      <x:alignment vertical="top"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5" borderId="0" xfId="0" applyNumberFormat="1" applyFont="1" applyFill="1" applyBorder="1" applyAlignment="1">
      <x:alignment vertical="top" wrapText="1"/>
    </x:xf>
    <x:xf numFmtId="0" fontId="0" fillId="15" borderId="1"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0" fillId="17" borderId="0" xfId="0" applyNumberFormat="1" applyFont="1" applyFill="1" applyBorder="1" applyAlignment="1">
      <x:alignment wrapText="1"/>
    </x:xf>
  </x:cellXfs>
  <x:cellStyles count="1">
    <x:cellStyle name="Normal" xfId="0"/>
  </x:cellStyles>
  <x:dxfs count="7">
    <x:dxf>
      <x:font>
        <x:b/>
        <x:color rgb="FF0B8F6A"/>
      </x:font>
      <x:fill>
        <x:patternFill>
          <x:bgColor rgb="FFE0F4ED"/>
        </x:patternFill>
      </x:fill>
    </x:dxf>
    <x:dxf>
      <x:font>
        <x:b/>
        <x:color rgb="FFC27A00"/>
      </x:font>
      <x:fill>
        <x:patternFill>
          <x:bgColor rgb="FFFFF0CF"/>
        </x:patternFill>
      </x:fill>
    </x:dxf>
    <x:dxf>
      <x:font>
        <x:b/>
        <x:color rgb="FFD64C5B"/>
      </x:font>
      <x:fill>
        <x:patternFill>
          <x:bgColor rgb="FFFFE4E7"/>
        </x:patternFill>
      </x:fill>
    </x:dxf>
    <x:dxf>
      <x:font>
        <x:b/>
        <x:color rgb="FF0B8F6A"/>
      </x:font>
      <x:fill>
        <x:patternFill>
          <x:bgColor rgb="FFE0F4ED"/>
        </x:patternFill>
      </x:fill>
    </x:dxf>
    <x:dxf>
      <x:font>
        <x:b/>
        <x:color rgb="FFC27A00"/>
      </x:font>
      <x:fill>
        <x:patternFill>
          <x:bgColor rgb="FFFFF0CF"/>
        </x:patternFill>
      </x:fill>
    </x:dxf>
    <x:dxf>
      <x:font>
        <x:b/>
        <x:color rgb="FFD64C5B"/>
      </x:font>
      <x:fill>
        <x:patternFill>
          <x:bgColor rgb="FFFFE4E7"/>
        </x:patternFill>
      </x:fill>
    </x:dxf>
    <x:dxf>
      <x:font>
        <x:b/>
        <x:color rgb="FFD64C5B"/>
      </x:font>
      <x:fill>
        <x:patternFill>
          <x:bgColor rgb="FFFFE4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36ff1dd1094563" /><Relationship Type="http://schemas.openxmlformats.org/officeDocument/2006/relationships/theme" Target="/xl/theme/theme1.xml" Id="R5cb4d82805bf4e9f" /><Relationship Type="http://schemas.openxmlformats.org/officeDocument/2006/relationships/sharedStrings" Target="/xl/sharedStrings.xml" Id="Rf679214b8f444e89" /><Relationship Type="http://schemas.openxmlformats.org/officeDocument/2006/relationships/worksheet" Target="/xl/worksheets/sheet1.xml" Id="R62b52940e23b425f" /><Relationship Type="http://schemas.openxmlformats.org/officeDocument/2006/relationships/worksheet" Target="/xl/worksheets/sheet2.xml" Id="Ra7ecc62fc2f84f7f" /><Relationship Type="http://schemas.openxmlformats.org/officeDocument/2006/relationships/worksheet" Target="/xl/worksheets/sheet3.xml" Id="R17b55fe390454cb8" /><Relationship Type="http://schemas.openxmlformats.org/officeDocument/2006/relationships/worksheet" Target="/xl/worksheets/sheet4.xml" Id="R4cab6b9fdc3045c6" /><Relationship Type="http://schemas.openxmlformats.org/officeDocument/2006/relationships/worksheet" Target="/xl/worksheets/sheet5.xml" Id="R7cf498f6dde548e2" /><Relationship Type="http://schemas.openxmlformats.org/officeDocument/2006/relationships/worksheet" Target="/xl/worksheets/sheet6.xml" Id="R79001dbdb80c4d47" /><Relationship Type="http://schemas.openxmlformats.org/officeDocument/2006/relationships/worksheet" Target="/xl/worksheets/sheet7.xml" Id="R29d8726f77814f58" /><Relationship Type="http://schemas.openxmlformats.org/officeDocument/2006/relationships/worksheet" Target="/xl/worksheets/sheet8.xml" Id="R832fd2b396c74da0" /><Relationship Type="http://schemas.openxmlformats.org/officeDocument/2006/relationships/worksheet" Target="/xl/worksheets/sheet9.xml" Id="R5befd5057ad04b32" /><Relationship Type="http://schemas.openxmlformats.org/officeDocument/2006/relationships/worksheet" Target="/xl/worksheets/sheet10.xml" Id="Rc51421ae8c3844c3" /><Relationship Type="http://schemas.openxmlformats.org/officeDocument/2006/relationships/worksheet" Target="/xl/worksheets/sheet11.xml" Id="R6252e0cd75f04a96" /></Relationships>
</file>

<file path=xl/tables/table1.xml><?xml version="1.0" encoding="utf-8"?>
<x:table xmlns:x="http://schemas.openxmlformats.org/spreadsheetml/2006/main" id="1" name="ScreenDecisionMatrix" displayName="ScreenDecisionMatrix" ref="A5:W48" headerRowCount="1" totalsRowCount="0" totalsRowShown="0">
  <x:tableColumns count="23">
    <x:tableColumn id="1" name="Sequence"/>
    <x:tableColumn id="2" name="Governed?"/>
    <x:tableColumn id="3" name="Prompt ID"/>
    <x:tableColumn id="4" name="Screen ID"/>
    <x:tableColumn id="5" name="Channel"/>
    <x:tableColumn id="6" name="Screen"/>
    <x:tableColumn id="7" name="Route / mode"/>
    <x:tableColumn id="8" name="Persona"/>
    <x:tableColumn id="9" name="Journey"/>
    <x:tableColumn id="10" name="Engines"/>
    <x:tableColumn id="11" name="Existing code"/>
    <x:tableColumn id="12" name="Primary user job"/>
    <x:tableColumn id="13" name="Why this way"/>
    <x:tableColumn id="14" name="Signature differentiator"/>
    <x:tableColumn id="15" name="Outlier / hard case"/>
    <x:tableColumn id="16" name="Reference codes"/>
    <x:tableColumn id="17" name="Influence adopted"/>
    <x:tableColumn id="18" name="Explicitly not copied"/>
    <x:tableColumn id="19" name="Objects / components"/>
    <x:tableColumn id="20" name="Critical states"/>
    <x:tableColumn id="21" name="Differentiation ★ /5"/>
    <x:tableColumn id="22" name="Readiness grade /5"/>
    <x:tableColumn id="23" name="Approval status"/>
  </x:tableColumns>
  <x:tableStyleInfo name="TableStyleMedium2" showFirstColumn="0" showLastColumn="0" showRowStripes="1" showColumnStripes="0"/>
</x:table>
</file>

<file path=xl/tables/table2.xml><?xml version="1.0" encoding="utf-8"?>
<x:table xmlns:x="http://schemas.openxmlformats.org/spreadsheetml/2006/main" id="2" name="ClaudePromptTable" displayName="ClaudePromptTable" ref="A5:J48" headerRowCount="1" totalsRowCount="0" totalsRowShown="0">
  <x:tableColumns count="10">
    <x:tableColumn id="1" name="Sequence"/>
    <x:tableColumn id="2" name="Batch"/>
    <x:tableColumn id="3" name="Prompt ID"/>
    <x:tableColumn id="4" name="Screen ID"/>
    <x:tableColumn id="5" name="Channel"/>
    <x:tableColumn id="6" name="Screen"/>
    <x:tableColumn id="7" name="Route"/>
    <x:tableColumn id="8" name="Code path"/>
    <x:tableColumn id="9" name="Risk"/>
    <x:tableColumn id="10" name="Full prompt"/>
  </x:tableColumns>
  <x:tableStyleInfo name="TableStyleMedium2" showFirstColumn="0" showLastColumn="0" showRowStripes="1" showColumnStripes="0"/>
</x:table>
</file>

<file path=xl/tables/table3.xml><?xml version="1.0" encoding="utf-8"?>
<x:table xmlns:x="http://schemas.openxmlformats.org/spreadsheetml/2006/main" id="3" name="ReferenceLibrary" displayName="ReferenceLibrary" ref="A5:F20" headerRowCount="1" totalsRowCount="0" totalsRowShown="0">
  <x:tableColumns count="6">
    <x:tableColumn id="1" name="Code"/>
    <x:tableColumn id="2" name="Reference"/>
    <x:tableColumn id="3" name="Type"/>
    <x:tableColumn id="4" name="Principle adopted"/>
    <x:tableColumn id="5" name="Source / URL"/>
    <x:tableColumn id="6" name="Use boundary"/>
  </x:tableColumns>
  <x:tableStyleInfo name="TableStyleMedium2" showFirstColumn="0" showLastColumn="0" showRowStripes="1" showColumnStripes="0"/>
</x:table>
</file>

<file path=xl/tables/table4.xml><?xml version="1.0" encoding="utf-8"?>
<x:table xmlns:x="http://schemas.openxmlformats.org/spreadsheetml/2006/main" id="4" name="BlindSpotRegister" displayName="BlindSpotRegister" ref="A5:J48" headerRowCount="1" totalsRowCount="0" totalsRowShown="0">
  <x:tableColumns count="10">
    <x:tableColumn id="1" name="Prompt ID"/>
    <x:tableColumn id="2" name="Screen ID"/>
    <x:tableColumn id="3" name="Screen"/>
    <x:tableColumn id="4" name="Channel"/>
    <x:tableColumn id="5" name="Severity"/>
    <x:tableColumn id="6" name="Blind spot"/>
    <x:tableColumn id="7" name="Design response required"/>
    <x:tableColumn id="8" name="Implementation boundary"/>
    <x:tableColumn id="9" name="Rejection risk"/>
    <x:tableColumn id="10" name="Closure evidence"/>
  </x:tableColumns>
  <x:tableStyleInfo name="TableStyleMedium2" showFirstColumn="0" showLastColumn="0" showRowStripes="1" showColumnStripes="0"/>
</x:table>
</file>

<file path=xl/tables/table5.xml><?xml version="1.0" encoding="utf-8"?>
<x:table xmlns:x="http://schemas.openxmlformats.org/spreadsheetml/2006/main" id="5" name="SubmissionBatches" displayName="SubmissionBatches" ref="A5:H14" headerRowCount="1" totalsRowCount="0" totalsRowShown="0">
  <x:tableColumns count="8">
    <x:tableColumn id="1" name="Batch"/>
    <x:tableColumn id="2" name="Screens"/>
    <x:tableColumn id="3" name="Submit to Claude Design"/>
    <x:tableColumn id="4" name="Expected shared output"/>
    <x:tableColumn id="5" name="Approval gate"/>
    <x:tableColumn id="6" name="Do not proceed if"/>
    <x:tableColumn id="7" name="Input-saving rule"/>
    <x:tableColumn id="8" name="PNG gate"/>
  </x:tableColumns>
  <x:tableStyleInfo name="TableStyleMedium2" showFirstColumn="0" showLastColumn="0" showRowStripes="1" showColumnStripes="0"/>
</x:table>
</file>

<file path=xl/tables/table6.xml><?xml version="1.0" encoding="utf-8"?>
<x:table xmlns:x="http://schemas.openxmlformats.org/spreadsheetml/2006/main" id="6" name="CodeHandoffContract" displayName="CodeHandoffContract" ref="A5:M48" headerRowCount="1" totalsRowCount="0" totalsRowShown="0">
  <x:tableColumns count="13">
    <x:tableColumn id="1" name="Prompt ID"/>
    <x:tableColumn id="2" name="Screen ID"/>
    <x:tableColumn id="3" name="Screen"/>
    <x:tableColumn id="4" name="Route / mode"/>
    <x:tableColumn id="5" name="Repository-derived candidate files"/>
    <x:tableColumn id="6" name="Required exact-file discovery"/>
    <x:tableColumn id="7" name="BEFORE evidence"/>
    <x:tableColumn id="8" name="Allowed disposition"/>
    <x:tableColumn id="9" name="AFTER evidence"/>
    <x:tableColumn id="10" name="Protected behavior"/>
    <x:tableColumn id="11" name="Required handoff files"/>
    <x:tableColumn id="12" name="Application order"/>
    <x:tableColumn id="13" name="Block cond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951331bc7748ad" /></Relationships>
</file>

<file path=xl/worksheets/_rels/sheet3.xml.rels>&#65279;<?xml version="1.0" encoding="utf-8"?><Relationships xmlns="http://schemas.openxmlformats.org/package/2006/relationships"><Relationship Type="http://schemas.openxmlformats.org/officeDocument/2006/relationships/table" Target="/xl/tables/table2.xml" Id="R3e75062266eb4f8f" /></Relationships>
</file>

<file path=xl/worksheets/_rels/sheet4.xml.rels>&#65279;<?xml version="1.0" encoding="utf-8"?><Relationships xmlns="http://schemas.openxmlformats.org/package/2006/relationships"><Relationship Type="http://schemas.openxmlformats.org/officeDocument/2006/relationships/table" Target="/xl/tables/table3.xml" Id="Rdd0fc0ad04594d94" /></Relationships>
</file>

<file path=xl/worksheets/_rels/sheet5.xml.rels>&#65279;<?xml version="1.0" encoding="utf-8"?><Relationships xmlns="http://schemas.openxmlformats.org/package/2006/relationships"><Relationship Type="http://schemas.openxmlformats.org/officeDocument/2006/relationships/table" Target="/xl/tables/table4.xml" Id="R48b0f133670342bf" /></Relationships>
</file>

<file path=xl/worksheets/_rels/sheet6.xml.rels>&#65279;<?xml version="1.0" encoding="utf-8"?><Relationships xmlns="http://schemas.openxmlformats.org/package/2006/relationships"><Relationship Type="http://schemas.openxmlformats.org/officeDocument/2006/relationships/table" Target="/xl/tables/table5.xml" Id="R02bb132578cf46d8" /></Relationships>
</file>

<file path=xl/worksheets/_rels/sheet7.xml.rels>&#65279;<?xml version="1.0" encoding="utf-8"?><Relationships xmlns="http://schemas.openxmlformats.org/package/2006/relationships"><Relationship Type="http://schemas.openxmlformats.org/officeDocument/2006/relationships/table" Target="/xl/tables/table6.xml" Id="R361bb08baa0e4542"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27" t="str">
        <x:v>Saqeel MVP1 — Claude Design Approval Pack V3 · Approved Shared Shell</x:v>
      </x:c>
      <x:c r="B1" s="27"/>
      <x:c r="C1" s="27"/>
      <x:c r="D1" s="27"/>
      <x:c r="E1" s="27"/>
      <x:c r="F1" s="27"/>
      <x:c r="G1" s="27"/>
      <x:c r="H1" s="27"/>
    </x:row>
    <x:row r="2" ht="28" customHeight="1">
      <x:c r="A2" s="27"/>
      <x:c r="B2" s="27"/>
      <x:c r="C2" s="27"/>
      <x:c r="D2" s="27"/>
      <x:c r="E2" s="27"/>
      <x:c r="F2" s="27"/>
      <x:c r="G2" s="27"/>
      <x:c r="H2" s="27"/>
    </x:row>
    <x:row r="3" ht="24" customHeight="1">
      <x:c r="A3" s="28" t="str">
        <x:v>Web-first design programme with a frozen, implemented role-scoped shell and mandatory vertical-slice certification</x:v>
      </x:c>
      <x:c r="B3" s="28"/>
      <x:c r="C3" s="28"/>
      <x:c r="D3" s="28"/>
      <x:c r="E3" s="28"/>
      <x:c r="F3" s="28"/>
      <x:c r="G3" s="28"/>
      <x:c r="H3" s="28"/>
    </x:row>
    <x:row r="4">
      <x:c r="A4" s="29"/>
      <x:c r="B4" s="29"/>
      <x:c r="C4" s="29"/>
      <x:c r="D4" s="29"/>
      <x:c r="E4" s="29"/>
      <x:c r="F4" s="29"/>
      <x:c r="G4" s="29"/>
      <x:c r="H4" s="29"/>
    </x:row>
    <x:row r="5">
      <x:c r="A5" s="9" t="str">
        <x:v>Coverage metric</x:v>
      </x:c>
      <x:c r="B5" s="9" t="str">
        <x:v>Value</x:v>
      </x:c>
      <x:c r="C5" s="29"/>
      <x:c r="D5" s="30" t="str">
        <x:v>Approval position</x:v>
      </x:c>
      <x:c r="E5" s="30"/>
      <x:c r="F5" s="30"/>
      <x:c r="G5" s="30"/>
      <x:c r="H5" s="30"/>
    </x:row>
    <x:row r="6">
      <x:c r="A6" s="12" t="str">
        <x:v>Total design prompts</x:v>
      </x:c>
      <x:c r="B6" s="13" t="n">
        <x:f>COUNTA('43 Screen Matrix'!A6:A48)</x:f>
        <x:v>43</x:v>
      </x:c>
      <x:c r="C6" s="29"/>
      <x:c r="D6" s="20" t="str">
        <x:v>V3.1 closure: sponsor accepted the functioning TASK-WEB-SHELL-001 shared shell on 2026-07-13. Typecheck and production build PASS; targeted shell Playwright 10/10; visual capture 4/4 including persona setup; complete regression 41/41. All 43 prompts retain their shell family and all 22 business tabs retain a governed disposition. The shell is frozen for Web-first CD-020–031. CD-002 is manually sponsor-approved; Claude Code implementation outcome still requires independent wiring verification. No commit, push, merge, deploy or main modification was performed.</x:v>
      </x:c>
      <x:c r="E6" s="20"/>
      <x:c r="F6" s="20"/>
      <x:c r="G6" s="20"/>
      <x:c r="H6" s="20"/>
    </x:row>
    <x:row r="7">
      <x:c r="A7" s="12" t="str">
        <x:v>Governed catalogue screens</x:v>
      </x:c>
      <x:c r="B7" s="13" t="n">
        <x:f>COUNTIF('43 Screen Matrix'!B6:B48,"Yes")</x:f>
        <x:v>38</x:v>
      </x:c>
      <x:c r="C7" s="29"/>
      <x:c r="D7" s="20"/>
      <x:c r="E7" s="20"/>
      <x:c r="F7" s="20"/>
      <x:c r="G7" s="20"/>
      <x:c r="H7" s="20"/>
    </x:row>
    <x:row r="8">
      <x:c r="A8" s="12" t="str">
        <x:v>Supplemental auth/admin surfaces</x:v>
      </x:c>
      <x:c r="B8" s="13" t="n">
        <x:f>COUNTIF('43 Screen Matrix'!B6:B48,"Supplemental")</x:f>
        <x:v>5</x:v>
      </x:c>
      <x:c r="C8" s="29"/>
      <x:c r="D8" s="20"/>
      <x:c r="E8" s="20"/>
      <x:c r="F8" s="20"/>
      <x:c r="G8" s="20"/>
      <x:c r="H8" s="20"/>
    </x:row>
    <x:row r="9">
      <x:c r="A9" s="12" t="str">
        <x:v>Average differentiation stars</x:v>
      </x:c>
      <x:c r="B9" s="14" t="n">
        <x:f>AVERAGE('43 Screen Matrix'!U6:U48)</x:f>
        <x:v>4.534883720930233</x:v>
      </x:c>
      <x:c r="C9" s="29"/>
      <x:c r="D9" s="20"/>
      <x:c r="E9" s="20"/>
      <x:c r="F9" s="20"/>
      <x:c r="G9" s="20"/>
      <x:c r="H9" s="20"/>
    </x:row>
    <x:row r="10">
      <x:c r="A10" s="12" t="str">
        <x:v>Average readiness grade</x:v>
      </x:c>
      <x:c r="B10" s="14" t="n">
        <x:f>AVERAGE('43 Screen Matrix'!V6:V48)</x:f>
        <x:v>4.883720930232558</x:v>
      </x:c>
      <x:c r="C10" s="29"/>
      <x:c r="D10" s="20"/>
      <x:c r="E10" s="20"/>
      <x:c r="F10" s="20"/>
      <x:c r="G10" s="20"/>
      <x:c r="H10" s="20"/>
    </x:row>
    <x:row r="11">
      <x:c r="A11" s="29"/>
      <x:c r="B11" s="29"/>
      <x:c r="C11" s="29"/>
      <x:c r="D11" s="29"/>
      <x:c r="E11" s="29"/>
      <x:c r="F11" s="29"/>
      <x:c r="G11" s="29"/>
      <x:c r="H11" s="29"/>
    </x:row>
    <x:row r="12">
      <x:c r="A12" s="30" t="str">
        <x:v>Recommended operating method</x:v>
      </x:c>
      <x:c r="B12" s="30"/>
      <x:c r="C12" s="30"/>
      <x:c r="D12" s="30"/>
      <x:c r="E12" s="30"/>
      <x:c r="F12" s="30"/>
      <x:c r="G12" s="30"/>
      <x:c r="H12" s="30"/>
    </x:row>
    <x:row r="13" ht="38" customHeight="1">
      <x:c r="A13" s="12" t="str">
        <x:v>1</x:v>
      </x:c>
      <x:c r="B13" s="12" t="str">
        <x:v>Start with research proof</x:v>
      </x:c>
      <x:c r="C13" s="12" t="str">
        <x:v>Claude Design must document primary-source principles, adoption and rejection before composing the final screen.</x:v>
      </x:c>
      <x:c r="D13" s="12"/>
      <x:c r="E13" s="12"/>
      <x:c r="F13" s="12"/>
      <x:c r="G13" s="12"/>
      <x:c r="H13" s="12"/>
    </x:row>
    <x:row r="14" ht="38" customHeight="1">
      <x:c r="A14" s="12" t="str">
        <x:v>2</x:v>
      </x:c>
      <x:c r="B14" s="12" t="str">
        <x:v>Lock the Saqeel family grammar</x:v>
      </x:c>
      <x:c r="C14" s="12" t="str">
        <x:v>CD-001 remains the baseline for Arabic-first RTL, themes, typography, focus, public-safe maps and magenta-violet identity.</x:v>
      </x:c>
      <x:c r="D14" s="12"/>
      <x:c r="E14" s="12"/>
      <x:c r="F14" s="12"/>
      <x:c r="G14" s="12"/>
      <x:c r="H14" s="12"/>
    </x:row>
    <x:row r="15" ht="38" customHeight="1">
      <x:c r="A15" s="12" t="str">
        <x:v>3</x:v>
      </x:c>
      <x:c r="B15" s="12" t="str">
        <x:v>Run the Web-first wave</x:v>
      </x:c>
      <x:c r="C15" s="12" t="str">
        <x:v>Submit CD-020–027 as WEB-I, then CD-028–031 as WEB-II. CD-032 Operations follows; Admin is deferred.</x:v>
      </x:c>
      <x:c r="D15" s="12"/>
      <x:c r="E15" s="12"/>
      <x:c r="F15" s="12"/>
      <x:c r="G15" s="12"/>
      <x:c r="H15" s="12"/>
    </x:row>
    <x:row r="16" ht="38" customHeight="1">
      <x:c r="A16" s="12" t="str">
        <x:v>4</x:v>
      </x:c>
      <x:c r="B16" s="12" t="str">
        <x:v>Demand three composition hypotheses</x:v>
      </x:c>
      <x:c r="C16" s="12" t="str">
        <x:v>Require meaningfully different information architectures, a comparison and an evidence-backed selection—not cosmetic variants.</x:v>
      </x:c>
      <x:c r="D16" s="12"/>
      <x:c r="E16" s="12"/>
      <x:c r="F16" s="12"/>
      <x:c r="G16" s="12"/>
      <x:c r="H16" s="12"/>
    </x:row>
    <x:row r="17" ht="38" customHeight="1">
      <x:c r="A17" s="12" t="str">
        <x:v>5</x:v>
      </x:c>
      <x:c r="B17" s="12" t="str">
        <x:v>Approve design only</x:v>
      </x:c>
      <x:c r="C17" s="12" t="str">
        <x:v>Sponsor signoff sets DESIGN_APPROVED. It does not authorize a completion claim or prove backend behavior.</x:v>
      </x:c>
      <x:c r="D17" s="12"/>
      <x:c r="E17" s="12"/>
      <x:c r="F17" s="12"/>
      <x:c r="G17" s="12"/>
      <x:c r="H17" s="12"/>
    </x:row>
    <x:row r="18" ht="38" customHeight="1">
      <x:c r="A18" s="12" t="str">
        <x:v>6</x:v>
      </x:c>
      <x:c r="B18" s="12" t="str">
        <x:v>Run the Codex wiring audit</x:v>
      </x:c>
      <x:c r="C18" s="12" t="str">
        <x:v>Map every action and state from UI through validation, server action, data/RPC/storage, RLS, transition, audit, side effect and test.</x:v>
      </x:c>
      <x:c r="D18" s="12"/>
      <x:c r="E18" s="12"/>
      <x:c r="F18" s="12"/>
      <x:c r="G18" s="12"/>
      <x:c r="H18" s="12"/>
    </x:row>
    <x:row r="19" ht="38" customHeight="1">
      <x:c r="A19" s="12" t="str">
        <x:v>7</x:v>
      </x:c>
      <x:c r="B19" s="12" t="str">
        <x:v>Implement a controlled vertical slice</x:v>
      </x:c>
      <x:c r="C19" s="12" t="str">
        <x:v>Claude Code may implement only after wiring gaps are resolved and implementation is explicitly authorized on a safe non-main branch/worktree.</x:v>
      </x:c>
      <x:c r="D19" s="12"/>
      <x:c r="E19" s="12"/>
      <x:c r="F19" s="12"/>
      <x:c r="G19" s="12"/>
      <x:c r="H19" s="12"/>
    </x:row>
    <x:row r="20" ht="38" customHeight="1">
      <x:c r="A20" s="12" t="str">
        <x:v>8</x:v>
      </x:c>
      <x:c r="B20" s="12" t="str">
        <x:v>Certify before calling it built</x:v>
      </x:c>
      <x:c r="C20" s="12" t="str">
        <x:v>Require real runtime evidence for happy, negative, partial-failure, security, audit, Arabic/RTL, theme, responsive and accessibility paths.</x:v>
      </x:c>
      <x:c r="D20" s="12"/>
      <x:c r="E20" s="12"/>
      <x:c r="F20" s="12"/>
      <x:c r="G20" s="12"/>
      <x:c r="H20" s="12"/>
    </x:row>
    <x:row r="21">
      <x:c r="A21" s="29"/>
      <x:c r="B21" s="29"/>
      <x:c r="C21" s="29"/>
      <x:c r="D21" s="29"/>
      <x:c r="E21" s="29"/>
      <x:c r="F21" s="29"/>
      <x:c r="G21" s="29"/>
      <x:c r="H21" s="29"/>
    </x:row>
    <x:row r="22">
      <x:c r="A22" s="31" t="str">
        <x:v>V3 foundation: page ambition rises while global shell truth stays fixed</x:v>
      </x:c>
      <x:c r="B22" s="31"/>
      <x:c r="C22" s="31"/>
      <x:c r="D22" s="31"/>
      <x:c r="E22" s="31"/>
      <x:c r="F22" s="31"/>
      <x:c r="G22" s="31"/>
      <x:c r="H22" s="31"/>
    </x:row>
    <x:row r="23" ht="32" customHeight="1">
      <x:c r="A23" s="26" t="str">
        <x:v>All 43 prompts now identify their shell family. Web/Admin screens reuse the implemented Saqeel shell; field and virtual channels keep dedicated navigation; access screens remain shell-free. Claude Design must spend its ambition on the inspection decision, object continuity, provenance, consequence and recovery—not on inventing a new sidebar. Unsupported Analytics, Lookup, Notification Configuration, Integration and AI tabs remain hidden until governed runtime behavior exists.</x:v>
      </x:c>
      <x:c r="B23" s="26"/>
      <x:c r="C23" s="26"/>
      <x:c r="D23" s="26"/>
      <x:c r="E23" s="26"/>
      <x:c r="F23" s="26"/>
      <x:c r="G23" s="26"/>
      <x:c r="H23" s="26"/>
    </x:row>
    <x:row r="24" ht="32" customHeight="1">
      <x:c r="A24" s="26"/>
      <x:c r="B24" s="26"/>
      <x:c r="C24" s="26"/>
      <x:c r="D24" s="26"/>
      <x:c r="E24" s="26"/>
      <x:c r="F24" s="26"/>
      <x:c r="G24" s="26"/>
      <x:c r="H24" s="26"/>
    </x:row>
    <x:row r="25" ht="32" customHeight="1">
      <x:c r="A25" s="26"/>
      <x:c r="B25" s="26"/>
      <x:c r="C25" s="26"/>
      <x:c r="D25" s="26"/>
      <x:c r="E25" s="26"/>
      <x:c r="F25" s="26"/>
      <x:c r="G25" s="26"/>
      <x:c r="H25" s="26"/>
    </x:row>
    <x:row r="26" ht="32" customHeight="1">
      <x:c r="A26" s="26"/>
      <x:c r="B26" s="26"/>
      <x:c r="C26" s="26"/>
      <x:c r="D26" s="26"/>
      <x:c r="E26" s="26"/>
      <x:c r="F26" s="26"/>
      <x:c r="G26" s="26"/>
      <x:c r="H26" s="26"/>
    </x:row>
    <x:row r="27" ht="32" customHeight="1">
      <x:c r="A27" s="26"/>
      <x:c r="B27" s="26"/>
      <x:c r="C27" s="26"/>
      <x:c r="D27" s="26"/>
      <x:c r="E27" s="26"/>
      <x:c r="F27" s="26"/>
      <x:c r="G27" s="26"/>
      <x:c r="H27" s="26"/>
    </x:row>
    <x:row r="28" ht="32" customHeight="1">
      <x:c r="A28" s="26"/>
      <x:c r="B28" s="26"/>
      <x:c r="C28" s="26"/>
      <x:c r="D28" s="26"/>
      <x:c r="E28" s="26"/>
      <x:c r="F28" s="26"/>
      <x:c r="G28" s="26"/>
      <x:c r="H28" s="26"/>
    </x:row>
  </x:sheetData>
  <x:mergeCells>
    <x:mergeCell ref="A1:H2"/>
    <x:mergeCell ref="A3:H3"/>
    <x:mergeCell ref="D5:H5"/>
    <x:mergeCell ref="D6:H10"/>
    <x:mergeCell ref="A12:H12"/>
    <x:mergeCell ref="C13:H13"/>
    <x:mergeCell ref="C14:H14"/>
    <x:mergeCell ref="C15:H15"/>
    <x:mergeCell ref="C16:H16"/>
    <x:mergeCell ref="C17:H17"/>
    <x:mergeCell ref="C18:H18"/>
    <x:mergeCell ref="C19:H19"/>
    <x:mergeCell ref="C20:H20"/>
    <x:mergeCell ref="A22:H22"/>
    <x:mergeCell ref="A23: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11" hidden="0" customWidth="1"/>
    <x:col min="4" max="4" width="16" hidden="0" customWidth="1"/>
    <x:col min="5" max="5" width="16" hidden="0" customWidth="1"/>
    <x:col min="6" max="6" width="30" hidden="0" customWidth="1"/>
    <x:col min="7" max="7" width="25" hidden="0" customWidth="1"/>
    <x:col min="8" max="8" width="22" hidden="0" customWidth="1"/>
    <x:col min="9" max="9" width="12" hidden="0" customWidth="1"/>
    <x:col min="10" max="10" width="21" hidden="0" customWidth="1"/>
    <x:col min="11" max="11" width="42" hidden="0" customWidth="1"/>
    <x:col min="12" max="12" width="34" hidden="0" customWidth="1"/>
    <x:col min="13" max="13" width="46" hidden="0" customWidth="1"/>
    <x:col min="14" max="14" width="48" hidden="0" customWidth="1"/>
    <x:col min="15" max="15" width="42" hidden="0" customWidth="1"/>
    <x:col min="16" max="16" width="20" hidden="0" customWidth="1"/>
    <x:col min="17" max="17" width="44" hidden="0" customWidth="1"/>
    <x:col min="18" max="18" width="38" hidden="0" customWidth="1"/>
    <x:col min="19" max="19" width="50" hidden="0" customWidth="1"/>
    <x:col min="20" max="20" width="42" hidden="0" customWidth="1"/>
    <x:col min="21" max="21" width="12" hidden="0" customWidth="1"/>
    <x:col min="22" max="22" width="12" hidden="0" customWidth="1"/>
    <x:col min="23" max="23" width="27" hidden="0" customWidth="1"/>
    <x:col min="24" max="24" width="13.329999923706055" hidden="0" customWidth="1"/>
    <x:col min="25" max="25" width="28.889999389648438" hidden="0" customWidth="1"/>
    <x:col min="26" max="26" width="35.560001373291016" hidden="0" customWidth="1"/>
    <x:col min="27" max="27" width="23.329999923706055" hidden="0" customWidth="1"/>
    <x:col min="28" max="28" width="43.33000183105469" hidden="0" customWidth="1"/>
    <x:col min="29" max="29" width="31.110000610351562" hidden="0" customWidth="1"/>
  </x:cols>
  <x:sheetData>
    <x:row r="1">
      <x:c r="A1" s="3" t="str">
        <x:v>43-Screen Decision and Differentiator Matrix</x:v>
      </x:c>
      <x:c r="B1" s="3"/>
      <x:c r="C1" s="3"/>
      <x:c r="D1" s="3"/>
      <x:c r="E1" s="3"/>
      <x:c r="F1" s="3"/>
      <x:c r="G1" s="3"/>
      <x:c r="H1" s="3"/>
      <x:c r="I1" s="3"/>
      <x:c r="J1" s="3"/>
      <x:c r="K1" s="3"/>
      <x:c r="L1" s="3"/>
      <x:c r="M1" s="3"/>
      <x:c r="N1" s="3"/>
      <x:c r="O1" s="3"/>
      <x:c r="P1" s="3"/>
      <x:c r="Q1" s="3"/>
      <x:c r="R1" s="3"/>
      <x:c r="S1" s="3"/>
      <x:c r="T1" s="3"/>
      <x:c r="U1" s="3"/>
      <x:c r="V1" s="3"/>
      <x:c r="W1" s="3"/>
    </x:row>
    <x:row r="2">
      <x:c r="A2" s="3"/>
      <x:c r="B2" s="3"/>
      <x:c r="C2" s="3"/>
      <x:c r="D2" s="3"/>
      <x:c r="E2" s="3"/>
      <x:c r="F2" s="3"/>
      <x:c r="G2" s="3"/>
      <x:c r="H2" s="3"/>
      <x:c r="I2" s="3"/>
      <x:c r="J2" s="3"/>
      <x:c r="K2" s="3"/>
      <x:c r="L2" s="3"/>
      <x:c r="M2" s="3"/>
      <x:c r="N2" s="3"/>
      <x:c r="O2" s="3"/>
      <x:c r="P2" s="3"/>
      <x:c r="Q2" s="3"/>
      <x:c r="R2" s="3"/>
      <x:c r="S2" s="3"/>
      <x:c r="T2" s="3"/>
      <x:c r="U2" s="3"/>
      <x:c r="V2" s="3"/>
      <x:c r="W2" s="3"/>
    </x:row>
    <x:row r="3">
      <x:c r="A3" s="20" t="str">
        <x:v>Filter by channel, journey, batch, risk or approval status. Full paste-ready prompts are in the Claude Prompts sheet.</x:v>
      </x:c>
      <x:c r="B3" s="20"/>
      <x:c r="C3" s="20"/>
      <x:c r="D3" s="20"/>
      <x:c r="E3" s="20"/>
      <x:c r="F3" s="20"/>
      <x:c r="G3" s="20"/>
      <x:c r="H3" s="20"/>
      <x:c r="I3" s="20"/>
      <x:c r="J3" s="20"/>
      <x:c r="K3" s="20"/>
      <x:c r="L3" s="20"/>
      <x:c r="M3" s="20"/>
      <x:c r="N3" s="20"/>
      <x:c r="O3" s="20"/>
      <x:c r="P3" s="20"/>
      <x:c r="Q3" s="20"/>
      <x:c r="R3" s="20"/>
      <x:c r="S3" s="20"/>
      <x:c r="T3" s="20"/>
      <x:c r="U3" s="20"/>
      <x:c r="V3" s="20"/>
      <x:c r="W3" s="20"/>
    </x:row>
    <x:row r="5" ht="34.5" customHeight="1">
      <x:c r="A5" s="67" t="str">
        <x:v>Sequence</x:v>
      </x:c>
      <x:c r="B5" s="67" t="str">
        <x:v>Governed?</x:v>
      </x:c>
      <x:c r="C5" s="67" t="str">
        <x:v>Prompt ID</x:v>
      </x:c>
      <x:c r="D5" s="67" t="str">
        <x:v>Screen ID</x:v>
      </x:c>
      <x:c r="E5" s="67" t="str">
        <x:v>Channel</x:v>
      </x:c>
      <x:c r="F5" s="67" t="str">
        <x:v>Screen</x:v>
      </x:c>
      <x:c r="G5" s="67" t="str">
        <x:v>Route / mode</x:v>
      </x:c>
      <x:c r="H5" s="67" t="str">
        <x:v>Persona</x:v>
      </x:c>
      <x:c r="I5" s="67" t="str">
        <x:v>Journey</x:v>
      </x:c>
      <x:c r="J5" s="67" t="str">
        <x:v>Engines</x:v>
      </x:c>
      <x:c r="K5" s="67" t="str">
        <x:v>Existing code</x:v>
      </x:c>
      <x:c r="L5" s="67" t="str">
        <x:v>Primary user job</x:v>
      </x:c>
      <x:c r="M5" s="67" t="str">
        <x:v>Why this way</x:v>
      </x:c>
      <x:c r="N5" s="67" t="str">
        <x:v>Signature differentiator</x:v>
      </x:c>
      <x:c r="O5" s="67" t="str">
        <x:v>Outlier / hard case</x:v>
      </x:c>
      <x:c r="P5" s="67" t="str">
        <x:v>Reference codes</x:v>
      </x:c>
      <x:c r="Q5" s="67" t="str">
        <x:v>Influence adopted</x:v>
      </x:c>
      <x:c r="R5" s="67" t="str">
        <x:v>Explicitly not copied</x:v>
      </x:c>
      <x:c r="S5" s="67" t="str">
        <x:v>Objects / components</x:v>
      </x:c>
      <x:c r="T5" s="67" t="str">
        <x:v>Critical states</x:v>
      </x:c>
      <x:c r="U5" s="67" t="str">
        <x:v>Differentiation ★ /5</x:v>
      </x:c>
      <x:c r="V5" s="67" t="str">
        <x:v>Readiness grade /5</x:v>
      </x:c>
      <x:c r="W5" s="67" t="str">
        <x:v>Approval status</x:v>
      </x:c>
      <x:c r="X5" s="67" t="str">
        <x:v>Priority wave</x:v>
      </x:c>
      <x:c r="Y5" s="67" t="str">
        <x:v>Research / ambition proof</x:v>
      </x:c>
      <x:c r="Z5" s="67" t="str">
        <x:v>Post-approval gate</x:v>
      </x:c>
      <x:c r="AA5" s="67" t="str">
        <x:v>Shell family</x:v>
      </x:c>
      <x:c r="AB5" s="67" t="str">
        <x:v>Approved shell / tab rule</x:v>
      </x:c>
      <x:c r="AC5" s="67" t="str">
        <x:v>Runtime shell status</x:v>
      </x:c>
    </x:row>
    <x:row r="6" ht="96" customHeight="1">
      <x:c r="A6" s="68" t="n">
        <x:v>1</x:v>
      </x:c>
      <x:c r="B6" s="68" t="str">
        <x:v>Supplemental</x:v>
      </x:c>
      <x:c r="C6" s="68" t="str">
        <x:v>CD-001</x:v>
      </x:c>
      <x:c r="D6" s="68" t="str">
        <x:v>AUTH-01</x:v>
      </x:c>
      <x:c r="E6" s="68" t="str">
        <x:v>Authentication</x:v>
      </x:c>
      <x:c r="F6" s="68" t="str">
        <x:v>Unified sign-in — the inspection story</x:v>
      </x:c>
      <x:c r="G6" s="68" t="str">
        <x:v>/login</x:v>
      </x:c>
      <x:c r="H6" s="68" t="str">
        <x:v>All personas</x:v>
      </x:c>
      <x:c r="I6" s="68" t="str">
        <x:v>Cross-channel entry</x:v>
      </x:c>
      <x:c r="J6" s="68" t="str">
        <x:v>ENG-06, ENG-12</x:v>
      </x:c>
      <x:c r="K6" s="68" t="str">
        <x:v>apps/web/src/app/login</x:v>
      </x:c>
      <x:c r="L6" s="68" t="str">
        <x:v>Authenticate once and understand, within seconds, what Saqeel governs.</x:v>
      </x:c>
      <x:c r="M6" s="68" t="str">
        <x:v>A separate admin/inspector selector is security theatre. One entry point reduces confusion and makes the product story visible without exposing operational data.</x:v>
      </x:c>
      <x:c r="N6" s="68" t="str">
        <x:v>The public-safe atlas narrates Plan → Travel → Arrive → Inspect → Review → Decide on one illustrative route; it is product explanation, never live operational data.</x:v>
      </x:c>
      <x:c r="O6" s="68" t="str">
        <x:v>Public surface must feel premium without showing real factories, live positions, risk counts or internal consoles.</x:v>
      </x:c>
      <x:c r="P6" s="68" t="str">
        <x:v>R01, R02, R07, R09, R14, R15</x:v>
      </x:c>
      <x:c r="Q6" s="68" t="str">
        <x:v>Government-grade credential clarity plus a map-led product narrative grounded in the actual inspection lifecycle.</x:v>
      </x:c>
      <x:c r="R6" s="68" t="str">
        <x:v>No ArcGIS dashboard chrome, GOV.UK styling, stock factory hero, or persona tabs.</x:v>
      </x:c>
      <x:c r="S6" s="68" t="str">
        <x:v>Saqeel lockup; unified email/password; show password; neutral error; reset link; language/theme; public-safe KSA atlas; six map-bound stages; gated demo helper.</x:v>
      </x:c>
      <x:c r="T6" s="68" t="str">
        <x:v>Default; invalid credentials; busy; keyboard focus; light/dark; EN/AR; tile unavailable; offline fallback; demo removed.</x:v>
      </x:c>
      <x:c r="U6" s="69" t="n">
        <x:v>5</x:v>
      </x:c>
      <x:c r="V6" s="69" t="n">
        <x:v>5</x:v>
      </x:c>
      <x:c r="W6" s="68" t="str">
        <x:v>SPONSOR ACCEPTED — BASELINE / DONE FOR NOW</x:v>
      </x:c>
      <x:c r="X6" s="68" t="str">
        <x:v>LOCKED BASELINE</x:v>
      </x:c>
      <x:c r="Y6" s="68" t="str">
        <x:v>No ordinary redesign</x:v>
      </x:c>
      <x:c r="Z6" s="68" t="str">
        <x:v>Regression gate only</x:v>
      </x:c>
      <x:c r="AA6" s="73" t="str">
        <x:v>Public access — no authenticated shell</x:v>
      </x:c>
      <x:c r="AB6" s="73" t="str">
        <x:v>Preserve accepted access grammar; never add the business sidebar/topbar to login or reset.</x:v>
      </x:c>
      <x:c r="AC6" s="73" t="str">
        <x:v>Excluded by contract — public access keeps its accepted shell-free boundary</x:v>
      </x:c>
    </x:row>
    <x:row r="7" ht="96" customHeight="1">
      <x:c r="A7" s="74" t="n">
        <x:v>2</x:v>
      </x:c>
      <x:c r="B7" s="74" t="str">
        <x:v>Supplemental</x:v>
      </x:c>
      <x:c r="C7" s="74" t="str">
        <x:v>CD-002</x:v>
      </x:c>
      <x:c r="D7" s="74" t="str">
        <x:v>AUTH-02</x:v>
      </x:c>
      <x:c r="E7" s="74" t="str">
        <x:v>Authentication</x:v>
      </x:c>
      <x:c r="F7" s="74" t="str">
        <x:v>Password recovery and reset</x:v>
      </x:c>
      <x:c r="G7" s="74" t="str">
        <x:v>/login (forgot states); /reset</x:v>
      </x:c>
      <x:c r="H7" s="74" t="str">
        <x:v>All personas</x:v>
      </x:c>
      <x:c r="I7" s="74" t="str">
        <x:v>Cross-channel recovery</x:v>
      </x:c>
      <x:c r="J7" s="74" t="str">
        <x:v>ENG-12</x:v>
      </x:c>
      <x:c r="K7" s="74" t="str">
        <x:v>apps/web/src/app/login/LoginClient.tsx; apps/web/src/app/reset</x:v>
      </x:c>
      <x:c r="L7" s="74" t="str">
        <x:v>Recover access safely without learning whether an account exists or losing confidence.</x:v>
      </x:c>
      <x:c r="M7" s="74" t="str">
        <x:v>Recovery is where government services often lose trust. Consistent language, preserved input and visible focus reduce abandonment and information leakage.</x:v>
      </x:c>
      <x:c r="N7" s="74" t="str">
        <x:v>Recovery is treated as a traceable trust event, not a generic modal bolted onto login.</x:v>
      </x:c>
      <x:c r="O7" s="74" t="str">
        <x:v>The confirmation stays account-neutral; the runtime supports one truthful invalid-or-expired link state and must preserve entered email on transport failure.</x:v>
      </x:c>
      <x:c r="P7" s="74" t="str">
        <x:v>R02, R14, R15</x:v>
      </x:c>
      <x:c r="Q7" s="74" t="str">
        <x:v>GOV.UK error and password patterns combined with Saqeel audit truth.</x:v>
      </x:c>
      <x:c r="R7" s="74" t="str">
        <x:v>No generic success confetti, account-existence hint, or separate visual brand.</x:v>
      </x:c>
      <x:c r="S7" s="74" t="str">
        <x:v>Forgot-password entry; email field; error summary; neutral confirmation; link checking; new-password and confirmation fields; invalid/expired recovery; return to sign-in.</x:v>
      </x:c>
      <x:c r="T7" s="74" t="str">
        <x:v>Forgot entry; invalid email; request busy; neutral confirmation; transport failure with email preserved; checking; new password; mismatch; runtime policy failure; invalid/expired link; completed and signed out; themes; Arabic RTL; narrow; focus/status announcements.</x:v>
      </x:c>
      <x:c r="U7" s="75" t="n">
        <x:v>4</x:v>
      </x:c>
      <x:c r="V7" s="75" t="n">
        <x:v>5</x:v>
      </x:c>
      <x:c r="W7" s="74" t="str">
        <x:v>SPONSOR DESIGN APPROVED — WIRING AUDIT NEXT</x:v>
      </x:c>
      <x:c r="X7" s="74" t="str">
        <x:v>WIRING AUDIT</x:v>
      </x:c>
      <x:c r="Y7" s="74" t="str">
        <x:v>No ordinary redesign</x:v>
      </x:c>
      <x:c r="Z7" s="74" t="str">
        <x:v>DESIGN_APPROVED → WIRING_AUDIT → IMPLEMENTATION_AUTHORIZED → VERTICAL_SLICE_PASS</x:v>
      </x:c>
      <x:c r="AA7" s="79" t="str">
        <x:v>Public access — no authenticated shell</x:v>
      </x:c>
      <x:c r="AB7" s="79" t="str">
        <x:v>Preserve accepted access grammar; never add the business sidebar/topbar to login or reset.</x:v>
      </x:c>
      <x:c r="AC7" s="79" t="str">
        <x:v>Excluded by contract — public access keeps its accepted shell-free boundary</x:v>
      </x:c>
    </x:row>
    <x:row r="8" ht="96" customHeight="1">
      <x:c r="A8" s="68" t="n">
        <x:v>3</x:v>
      </x:c>
      <x:c r="B8" s="68" t="str">
        <x:v>Supplemental</x:v>
      </x:c>
      <x:c r="C8" s="68" t="str">
        <x:v>CD-003</x:v>
      </x:c>
      <x:c r="D8" s="68" t="str">
        <x:v>AUTH-03</x:v>
      </x:c>
      <x:c r="E8" s="68" t="str">
        <x:v>Authentication</x:v>
      </x:c>
      <x:c r="F8" s="68" t="str">
        <x:v>Role resolution, unauthorized and no workspace</x:v>
      </x:c>
      <x:c r="G8" s="68" t="str">
        <x:v>/launch; protected-route state</x:v>
      </x:c>
      <x:c r="H8" s="68" t="str">
        <x:v>All authenticated personas</x:v>
      </x:c>
      <x:c r="I8" s="68" t="str">
        <x:v>Cross-channel routing</x:v>
      </x:c>
      <x:c r="J8" s="68" t="str">
        <x:v>ENG-12</x:v>
      </x:c>
      <x:c r="K8" s="68" t="str">
        <x:v>apps/web/src/app/launch/page.tsx; apps/web/middleware.ts; apps/web/src/components/Shell.tsx</x:v>
      </x:c>
      <x:c r="L8" s="68" t="str">
        <x:v>Reach the correct workspace or receive a safe, actionable denial.</x:v>
      </x:c>
      <x:c r="M8" s="68" t="str">
        <x:v>The present fallback to /admin is an avoidable trust and security smell. Unknown roles need a neutral no-workspace destination.</x:v>
      </x:c>
      <x:c r="N8" s="68" t="str">
        <x:v>The denial explains access scope, session identity and support path without exposing other modules.</x:v>
      </x:c>
      <x:c r="O8" s="68" t="str">
        <x:v>Authenticated-but-unassigned, multi-role, stale-role and wrong-channel states differ from unauthenticated login.</x:v>
      </x:c>
      <x:c r="P8" s="68" t="str">
        <x:v>R01, R02, R11, R14</x:v>
      </x:c>
      <x:c r="Q8" s="68" t="str">
        <x:v>Enterprise role-based launch behavior with government-service error clarity.</x:v>
      </x:c>
      <x:c r="R8" s="68" t="str">
        <x:v>No portal chooser, admin leak, or broad app menu before authorization.</x:v>
      </x:c>
      <x:c r="S8" s="68" t="str">
        <x:v>Resolving indicator; destination label; account identity; no-workspace panel; safe sign-out; request-support path; correlation/audit reference.</x:v>
      </x:c>
      <x:c r="T8" s="68" t="str">
        <x:v>Resolving; one role; multiple roles; no role; unauthorized route; expired session; network failure.</x:v>
      </x:c>
      <x:c r="U8" s="69" t="n">
        <x:v>4</x:v>
      </x:c>
      <x:c r="V8" s="69" t="n">
        <x:v>4</x:v>
      </x:c>
      <x:c r="W8" s="68" t="str">
        <x:v>QUEUED AFTER WEB WAVE</x:v>
      </x:c>
      <x:c r="X8" s="68" t="str">
        <x:v>DEFERRED</x:v>
      </x:c>
      <x:c r="Y8" s="68" t="str">
        <x:v>V2 universal research + three composition hypotheses</x:v>
      </x:c>
      <x:c r="Z8" s="68" t="str">
        <x:v>DESIGN_APPROVED → WIRING_AUDIT → IMPLEMENTATION_AUTHORIZED → VERTICAL_SLICE_PASS</x:v>
      </x:c>
      <x:c r="AA8" s="73" t="str">
        <x:v>Access resolution</x:v>
      </x:c>
      <x:c r="AB8" s="73" t="str">
        <x:v>Resolve role server-side before revealing business navigation; no-workspace remains neutral and scoped.</x:v>
      </x:c>
      <x:c r="AC8" s="73" t="str">
        <x:v>Role resolution implemented; sponsor-accepted shell is revealed only after /launch</x:v>
      </x:c>
    </x:row>
    <x:row r="9" ht="96" customHeight="1">
      <x:c r="A9" s="74" t="n">
        <x:v>4</x:v>
      </x:c>
      <x:c r="B9" s="74" t="str">
        <x:v>Yes</x:v>
      </x:c>
      <x:c r="C9" s="74" t="str">
        <x:v>CD-020</x:v>
      </x:c>
      <x:c r="D9" s="74" t="str">
        <x:v>SCR-WEB-100</x:v>
      </x:c>
      <x:c r="E9" s="74" t="str">
        <x:v>Web — Planning</x:v>
      </x:c>
      <x:c r="F9" s="74" t="str">
        <x:v>Visit planning home</x:v>
      </x:c>
      <x:c r="G9" s="74" t="str">
        <x:v>/planning</x:v>
      </x:c>
      <x:c r="H9" s="74" t="str">
        <x:v>Planner</x:v>
      </x:c>
      <x:c r="I9" s="74" t="str">
        <x:v>P01</x:v>
      </x:c>
      <x:c r="J9" s="74" t="str">
        <x:v>ENG-04, ENG-06, ENG-12</x:v>
      </x:c>
      <x:c r="K9" s="74" t="str">
        <x:v>apps/web/src/app/planning/page.tsx</x:v>
      </x:c>
      <x:c r="L9" s="74" t="str">
        <x:v>Choose the correct planning method and resume unfinished work.</x:v>
      </x:c>
      <x:c r="M9" s="74" t="str">
        <x:v>The method changes targeting, validation and evidence. Users should decide from intent, not from form familiarity.</x:v>
      </x:c>
      <x:c r="N9" s="74" t="str">
        <x:v>Each method previews when to use it, what it produces and the non-negotiable guard that applies.</x:v>
      </x:c>
      <x:c r="O9" s="74" t="str">
        <x:v>No published package, unauthorized immediate visit and draft recovery.</x:v>
      </x:c>
      <x:c r="P9" s="74" t="str">
        <x:v>R01, R02, R06, R11</x:v>
      </x:c>
      <x:c r="Q9" s="74" t="str">
        <x:v>Fiori initial-page clarity and field-service scheduling intent.</x:v>
      </x:c>
      <x:c r="R9" s="74" t="str">
        <x:v>No equal marketing cards or wizard launched without readiness.</x:v>
      </x:c>
      <x:c r="S9" s="74" t="str">
        <x:v>Method panels; draft resume; recent plans; package readiness; operational alert; method comparison; plan register link.</x:v>
      </x:c>
      <x:c r="T9" s="74" t="str">
        <x:v>Ready; no package; drafts; no permission; service unavailable; first-use empty.</x:v>
      </x:c>
      <x:c r="U9" s="75" t="n">
        <x:v>4</x:v>
      </x:c>
      <x:c r="V9" s="75" t="n">
        <x:v>5</x:v>
      </x:c>
      <x:c r="W9" s="74" t="str">
        <x:v>NEXT WEB WAVE — CHALLENGE V2</x:v>
      </x:c>
      <x:c r="X9" s="74" t="str">
        <x:v>WEB NEXT</x:v>
      </x:c>
      <x:c r="Y9" s="74" t="str">
        <x:v>R16, R18, R19, R24 · three composition hypotheses · genericity test</x:v>
      </x:c>
      <x:c r="Z9" s="74" t="str">
        <x:v>DESIGN_APPROVED → WIRING_AUDIT → IMPLEMENTATION_AUTHORIZED → VERTICAL_SLICE_PASS</x:v>
      </x:c>
      <x:c r="AA9" s="79" t="str">
        <x:v>Shared Web/Operations shell V1</x:v>
      </x:c>
      <x:c r="AB9" s="79" t="str">
        <x:v>Planning · reuse TASK-WEB-SHELL-001 exactly; design page content and page-specific filters only.</x:v>
      </x:c>
      <x:c r="AC9" s="79" t="str">
        <x:v>Sponsor-accepted shared shell frozen; this screen still requires its own design and wiring gate</x:v>
      </x:c>
    </x:row>
    <x:row r="10" ht="96" customHeight="1">
      <x:c r="A10" s="68" t="n">
        <x:v>5</x:v>
      </x:c>
      <x:c r="B10" s="68" t="str">
        <x:v>Yes</x:v>
      </x:c>
      <x:c r="C10" s="68" t="str">
        <x:v>CD-021</x:v>
      </x:c>
      <x:c r="D10" s="68" t="str">
        <x:v>SCR-WEB-110</x:v>
      </x:c>
      <x:c r="E10" s="68" t="str">
        <x:v>Web — Planning</x:v>
      </x:c>
      <x:c r="F10" s="68" t="str">
        <x:v>Bulk planning criteria and targeting</x:v>
      </x:c>
      <x:c r="G10" s="68" t="str">
        <x:v>/planning/bulk</x:v>
      </x:c>
      <x:c r="H10" s="68" t="str">
        <x:v>Planner</x:v>
      </x:c>
      <x:c r="I10" s="68" t="str">
        <x:v>P01</x:v>
      </x:c>
      <x:c r="J10" s="68" t="str">
        <x:v>ENG-04, ENG-06, ENG-12</x:v>
      </x:c>
      <x:c r="K10" s="68" t="str">
        <x:v>apps/web/src/app/planning/bulk</x:v>
      </x:c>
      <x:c r="L10" s="68" t="str">
        <x:v>Build reproducible criteria, understand the resulting factory population and select targets.</x:v>
      </x:c>
      <x:c r="M10" s="68" t="str">
        <x:v>A form followed by a table hides how filters shape regulatory coverage.</x:v>
      </x:c>
      <x:c r="N10" s="68" t="str">
        <x:v>The ‘targeting lens’ synchronizes logic tree, KSA map and explainable result distribution.</x:v>
      </x:c>
      <x:c r="O10" s="68" t="str">
        <x:v>Nested AND/OR, zero matches, stale registry data, huge result sets and risk recommendations that cannot decide for the user.</x:v>
      </x:c>
      <x:c r="P10" s="68" t="str">
        <x:v>R01, R02, R06, R09, R11, R12</x:v>
      </x:c>
      <x:c r="Q10" s="68" t="str">
        <x:v>Dispatch filtering, map-linked operational views and accessible batch-selection tables.</x:v>
      </x:c>
      <x:c r="R10" s="68" t="str">
        <x:v>No GIS dashboard clone or black-box AI target list.</x:v>
      </x:c>
      <x:c r="S10" s="68" t="str">
        <x:v>Criteria tree; condition chips; live count; map clusters; risk/activity/region distribution; factory table; selection; saved criteria; validation summary.</x:v>
      </x:c>
      <x:c r="T10" s="68" t="str">
        <x:v>Initial; searching; no matches; invalid rule; partial data source; stale results; selected targets.</x:v>
      </x:c>
      <x:c r="U10" s="69" t="n">
        <x:v>5</x:v>
      </x:c>
      <x:c r="V10" s="69" t="n">
        <x:v>5</x:v>
      </x:c>
      <x:c r="W10" s="68" t="str">
        <x:v>NEXT WEB WAVE — CHALLENGE V2</x:v>
      </x:c>
      <x:c r="X10" s="68" t="str">
        <x:v>WEB NEXT</x:v>
      </x:c>
      <x:c r="Y10" s="68" t="str">
        <x:v>R18, R20, R21, R22 · three composition hypotheses · genericity test</x:v>
      </x:c>
      <x:c r="Z10" s="68" t="str">
        <x:v>DESIGN_APPROVED → WIRING_AUDIT → IMPLEMENTATION_AUTHORIZED → VERTICAL_SLICE_PASS</x:v>
      </x:c>
      <x:c r="AA10" s="73" t="str">
        <x:v>Shared Web/Operations shell V1</x:v>
      </x:c>
      <x:c r="AB10" s="73" t="str">
        <x:v>Planning · reuse TASK-WEB-SHELL-001 exactly; design page content and page-specific filters only.</x:v>
      </x:c>
      <x:c r="AC10" s="73" t="str">
        <x:v>Sponsor-accepted shared shell frozen; this screen still requires its own design and wiring gate</x:v>
      </x:c>
    </x:row>
    <x:row r="11" ht="96" customHeight="1">
      <x:c r="A11" s="74" t="n">
        <x:v>6</x:v>
      </x:c>
      <x:c r="B11" s="74" t="str">
        <x:v>Yes</x:v>
      </x:c>
      <x:c r="C11" s="74" t="str">
        <x:v>CD-022</x:v>
      </x:c>
      <x:c r="D11" s="74" t="str">
        <x:v>SCR-WEB-120</x:v>
      </x:c>
      <x:c r="E11" s="74" t="str">
        <x:v>Web — Planning</x:v>
      </x:c>
      <x:c r="F11" s="74" t="str">
        <x:v>Single visit planning</x:v>
      </x:c>
      <x:c r="G11" s="74" t="str">
        <x:v>/planning/single</x:v>
      </x:c>
      <x:c r="H11" s="74" t="str">
        <x:v>Planner</x:v>
      </x:c>
      <x:c r="I11" s="74" t="str">
        <x:v>P01</x:v>
      </x:c>
      <x:c r="J11" s="74" t="str">
        <x:v>ENG-04, ENG-05, ENG-06</x:v>
      </x:c>
      <x:c r="K11" s="74" t="str">
        <x:v>apps/web/src/app/planning/single</x:v>
      </x:c>
      <x:c r="L11" s="74" t="str">
        <x:v>Find one registered factory, verify identity and create a valid visit.</x:v>
      </x:c>
      <x:c r="M11" s="74" t="str">
        <x:v>Selecting the wrong factory is more damaging than filling the form incorrectly.</x:v>
      </x:c>
      <x:c r="N11" s="74" t="str">
        <x:v>Identity-confidence card compares CR/license, official location, activity and recent inspection context before selection.</x:v>
      </x:c>
      <x:c r="O11" s="74" t="str">
        <x:v>Duplicate names, stale license, missing coordinates and existing overlapping visit.</x:v>
      </x:c>
      <x:c r="P11" s="74" t="str">
        <x:v>R01, R02, R07, R11</x:v>
      </x:c>
      <x:c r="Q11" s="74" t="str">
        <x:v>Asset search and object-detail verification patterns with GIS provenance.</x:v>
      </x:c>
      <x:c r="R11" s="74" t="str">
        <x:v>No simple autocomplete-to-form jump.</x:v>
      </x:c>
      <x:c r="S11" s="74" t="str">
        <x:v>Identifier search; result confidence; map; CR/license; activity; risk context; recent visits; duplicate warning; continue.</x:v>
      </x:c>
      <x:c r="T11" s="74" t="str">
        <x:v>Searching; no result; ambiguous; source degraded; missing location; duplicate visit; selected.</x:v>
      </x:c>
      <x:c r="U11" s="75" t="n">
        <x:v>4</x:v>
      </x:c>
      <x:c r="V11" s="75" t="n">
        <x:v>5</x:v>
      </x:c>
      <x:c r="W11" s="74" t="str">
        <x:v>NEXT WEB WAVE — CHALLENGE V2</x:v>
      </x:c>
      <x:c r="X11" s="74" t="str">
        <x:v>WEB NEXT</x:v>
      </x:c>
      <x:c r="Y11" s="74" t="str">
        <x:v>R16, R19, R21, R24 · three composition hypotheses · genericity test</x:v>
      </x:c>
      <x:c r="Z11" s="74" t="str">
        <x:v>DESIGN_APPROVED → WIRING_AUDIT → IMPLEMENTATION_AUTHORIZED → VERTICAL_SLICE_PASS</x:v>
      </x:c>
      <x:c r="AA11" s="79" t="str">
        <x:v>Shared Web/Operations shell V1</x:v>
      </x:c>
      <x:c r="AB11" s="79" t="str">
        <x:v>Planning · reuse TASK-WEB-SHELL-001 exactly; design page content and page-specific filters only.</x:v>
      </x:c>
      <x:c r="AC11" s="79" t="str">
        <x:v>Sponsor-accepted shared shell frozen; this screen still requires its own design and wiring gate</x:v>
      </x:c>
    </x:row>
    <x:row r="12" ht="96" customHeight="1">
      <x:c r="A12" s="68" t="n">
        <x:v>7</x:v>
      </x:c>
      <x:c r="B12" s="68" t="str">
        <x:v>Yes</x:v>
      </x:c>
      <x:c r="C12" s="68" t="str">
        <x:v>CD-023</x:v>
      </x:c>
      <x:c r="D12" s="68" t="str">
        <x:v>SCR-WEB-130</x:v>
      </x:c>
      <x:c r="E12" s="68" t="str">
        <x:v>Web — Planning</x:v>
      </x:c>
      <x:c r="F12" s="68" t="str">
        <x:v>Immediate visit planning</x:v>
      </x:c>
      <x:c r="G12" s="68" t="str">
        <x:v>/planning/immediate</x:v>
      </x:c>
      <x:c r="H12" s="68" t="str">
        <x:v>Planner; Authorized Inspector</x:v>
      </x:c>
      <x:c r="I12" s="68" t="str">
        <x:v>P01</x:v>
      </x:c>
      <x:c r="J12" s="68" t="str">
        <x:v>ENG-03, ENG-05, ENG-06, ENG-12</x:v>
      </x:c>
      <x:c r="K12" s="68" t="str">
        <x:v>apps/web/src/app/planning/immediate</x:v>
      </x:c>
      <x:c r="L12" s="68" t="str">
        <x:v>Dispatch an urgent registered or unregistered visit with minimum governed information.</x:v>
      </x:c>
      <x:c r="M12" s="68" t="str">
        <x:v>Speed cannot remove identity, location, reason, package, assignment or audit controls.</x:v>
      </x:c>
      <x:c r="N12" s="68" t="str">
        <x:v>‘Minimum viable authority’ bar shows exactly which protections remain mandatory under urgency.</x:v>
      </x:c>
      <x:c r="O12" s="68" t="str">
        <x:v>Unregistered factory, manual coordinates, no available inspector and unauthorized user.</x:v>
      </x:c>
      <x:c r="P12" s="68" t="str">
        <x:v>R01, R02, R06, R07, R14</x:v>
      </x:c>
      <x:c r="Q12" s="68" t="str">
        <x:v>Field-service quick scheduling plus government error clarity and GIS confidence.</x:v>
      </x:c>
      <x:c r="R12" s="68" t="str">
        <x:v>No red emergency-themed form or silent bypass switches.</x:v>
      </x:c>
      <x:c r="S12" s="68" t="str">
        <x:v>Registered/unregistered choice; urgency reason; identity/location; visit type; package; inspector; window; notes; minimum-control bar; dispatch review.</x:v>
      </x:c>
      <x:c r="T12" s="68" t="str">
        <x:v>Authorized; unauthorized; missing identity/location; invalid coordinates; no inspector; dispatch success/failure.</x:v>
      </x:c>
      <x:c r="U12" s="69" t="n">
        <x:v>4</x:v>
      </x:c>
      <x:c r="V12" s="69" t="n">
        <x:v>4</x:v>
      </x:c>
      <x:c r="W12" s="68" t="str">
        <x:v>NEXT WEB WAVE — CHALLENGE V2</x:v>
      </x:c>
      <x:c r="X12" s="68" t="str">
        <x:v>WEB NEXT</x:v>
      </x:c>
      <x:c r="Y12" s="68" t="str">
        <x:v>R16, R21, R24, R25 · three composition hypotheses · genericity test</x:v>
      </x:c>
      <x:c r="Z12" s="68" t="str">
        <x:v>DESIGN_APPROVED → WIRING_AUDIT → IMPLEMENTATION_AUTHORIZED → VERTICAL_SLICE_PASS</x:v>
      </x:c>
      <x:c r="AA12" s="73" t="str">
        <x:v>Shared Web/Operations shell V1</x:v>
      </x:c>
      <x:c r="AB12" s="73" t="str">
        <x:v>Planning · reuse TASK-WEB-SHELL-001 exactly; design page content and page-specific filters only.</x:v>
      </x:c>
      <x:c r="AC12" s="73" t="str">
        <x:v>Sponsor-accepted shared shell frozen; this screen still requires its own design and wiring gate</x:v>
      </x:c>
    </x:row>
    <x:row r="13" ht="96" customHeight="1">
      <x:c r="A13" s="74" t="n">
        <x:v>8</x:v>
      </x:c>
      <x:c r="B13" s="74" t="str">
        <x:v>Yes</x:v>
      </x:c>
      <x:c r="C13" s="74" t="str">
        <x:v>CD-024</x:v>
      </x:c>
      <x:c r="D13" s="74" t="str">
        <x:v>SCR-WEB-140</x:v>
      </x:c>
      <x:c r="E13" s="74" t="str">
        <x:v>Web — Planning</x:v>
      </x:c>
      <x:c r="F13" s="74" t="str">
        <x:v>Visit configuration and assignment</x:v>
      </x:c>
      <x:c r="G13" s="74" t="str">
        <x:v>/planning/plans/:id</x:v>
      </x:c>
      <x:c r="H13" s="74" t="str">
        <x:v>Planner</x:v>
      </x:c>
      <x:c r="I13" s="74" t="str">
        <x:v>P02</x:v>
      </x:c>
      <x:c r="J13" s="74" t="str">
        <x:v>ENG-02, ENG-03, ENG-05, ENG-06, ENG-11, ENG-12</x:v>
      </x:c>
      <x:c r="K13" s="74" t="str">
        <x:v>apps/web/src/app/planning/plans/[id]/page.tsx</x:v>
      </x:c>
      <x:c r="L13" s="74" t="str">
        <x:v>Set visit configuration and assign an eligible inspector without creating conflicts.</x:v>
      </x:c>
      <x:c r="M13" s="74" t="str">
        <x:v>A dropdown cannot express workload, availability, skill, proximity or overlap.</x:v>
      </x:c>
      <x:c r="N13" s="74" t="str">
        <x:v>Assignment confidence panel explains why each candidate is eligible and what tradeoff the planner is accepting.</x:v>
      </x:c>
      <x:c r="O13" s="74" t="str">
        <x:v>Overlapping visit, unavailable inspector, wrong execution mode and package/effective-date mismatch.</x:v>
      </x:c>
      <x:c r="P13" s="74" t="str">
        <x:v>R01, R02, R06, R11, R12</x:v>
      </x:c>
      <x:c r="Q13" s="74" t="str">
        <x:v>Dynamics scheduling assistant and enterprise object editing.</x:v>
      </x:c>
      <x:c r="R13" s="74" t="str">
        <x:v>No drag-and-drop schedule board in a single-visit form.</x:v>
      </x:c>
      <x:c r="S13" s="74" t="str">
        <x:v>Visit window/type/package/mode; candidate list; workload timeline; map proximity; conflict panel; auto/manual method; reasoned override; audit preview.</x:v>
      </x:c>
      <x:c r="T13" s="74" t="str">
        <x:v>Valid; no package; no candidate; conflict; stale availability; override requested; ready.</x:v>
      </x:c>
      <x:c r="U13" s="75" t="n">
        <x:v>5</x:v>
      </x:c>
      <x:c r="V13" s="75" t="n">
        <x:v>5</x:v>
      </x:c>
      <x:c r="W13" s="74" t="str">
        <x:v>NEXT WEB WAVE — CHALLENGE V2</x:v>
      </x:c>
      <x:c r="X13" s="74" t="str">
        <x:v>WEB NEXT</x:v>
      </x:c>
      <x:c r="Y13" s="74" t="str">
        <x:v>R18, R19, R20, R22 · three composition hypotheses · genericity test</x:v>
      </x:c>
      <x:c r="Z13" s="74" t="str">
        <x:v>DESIGN_APPROVED → WIRING_AUDIT → IMPLEMENTATION_AUTHORIZED → VERTICAL_SLICE_PASS</x:v>
      </x:c>
      <x:c r="AA13" s="79" t="str">
        <x:v>Shared Web/Operations shell V1</x:v>
      </x:c>
      <x:c r="AB13" s="79" t="str">
        <x:v>Planning · reuse TASK-WEB-SHELL-001 exactly; design page content and page-specific filters only.</x:v>
      </x:c>
      <x:c r="AC13" s="79" t="str">
        <x:v>Sponsor-accepted shared shell frozen; this screen still requires its own design and wiring gate</x:v>
      </x:c>
    </x:row>
    <x:row r="14" ht="96" customHeight="1">
      <x:c r="A14" s="68" t="n">
        <x:v>9</x:v>
      </x:c>
      <x:c r="B14" s="68" t="str">
        <x:v>Yes</x:v>
      </x:c>
      <x:c r="C14" s="68" t="str">
        <x:v>CD-025</x:v>
      </x:c>
      <x:c r="D14" s="68" t="str">
        <x:v>SCR-WEB-150</x:v>
      </x:c>
      <x:c r="E14" s="68" t="str">
        <x:v>Web — Planning</x:v>
      </x:c>
      <x:c r="F14" s="68" t="str">
        <x:v>Plan review and publish</x:v>
      </x:c>
      <x:c r="G14" s="68" t="str">
        <x:v>/planning/plans/:id (review mode)</x:v>
      </x:c>
      <x:c r="H14" s="68" t="str">
        <x:v>Planner; Approver</x:v>
      </x:c>
      <x:c r="I14" s="68" t="str">
        <x:v>P03</x:v>
      </x:c>
      <x:c r="J14" s="68" t="str">
        <x:v>ENG-03, ENG-05, ENG-11, ENG-12</x:v>
      </x:c>
      <x:c r="K14" s="68" t="str">
        <x:v>apps/web/src/app/planning/plans/[id]/page.tsx</x:v>
      </x:c>
      <x:c r="L14" s="68" t="str">
        <x:v>Prove a plan is complete and publish child visits atomically.</x:v>
      </x:c>
      <x:c r="M14" s="68" t="str">
        <x:v>Publish is an irreversible operational handoff, not a save button.</x:v>
      </x:c>
      <x:c r="N14" s="68" t="str">
        <x:v>Atomic-publish preview shows exactly what records, assignments, notifications and locked versions will be created.</x:v>
      </x:c>
      <x:c r="O14" s="68" t="str">
        <x:v>Stale target data, duplicate visits, partial assignment and last-second package invalidation.</x:v>
      </x:c>
      <x:c r="P14" s="68" t="str">
        <x:v>R01, R02, R10, R11, R14</x:v>
      </x:c>
      <x:c r="Q14" s="68" t="str">
        <x:v>Deployment review discipline and government-service error summaries.</x:v>
      </x:c>
      <x:c r="R14" s="68" t="str">
        <x:v>No generic confirmation modal or optimistic partial publish.</x:v>
      </x:c>
      <x:c r="S14" s="68" t="str">
        <x:v>Summary; targets; visit list; assignment coverage; package version; validation groups; notifications; impact; publish confirmation; return to edit.</x:v>
      </x:c>
      <x:c r="T14" s="68" t="str">
        <x:v>Validating; blocked; warning; approval required; publishing; complete; atomic failure.</x:v>
      </x:c>
      <x:c r="U14" s="69" t="n">
        <x:v>4</x:v>
      </x:c>
      <x:c r="V14" s="69" t="n">
        <x:v>5</x:v>
      </x:c>
      <x:c r="W14" s="68" t="str">
        <x:v>NEXT WEB WAVE — CHALLENGE V2</x:v>
      </x:c>
      <x:c r="X14" s="68" t="str">
        <x:v>WEB NEXT</x:v>
      </x:c>
      <x:c r="Y14" s="68" t="str">
        <x:v>R18, R19, R24, R25 · three composition hypotheses · genericity test</x:v>
      </x:c>
      <x:c r="Z14" s="68" t="str">
        <x:v>DESIGN_APPROVED → WIRING_AUDIT → IMPLEMENTATION_AUTHORIZED → VERTICAL_SLICE_PASS</x:v>
      </x:c>
      <x:c r="AA14" s="73" t="str">
        <x:v>Shared Web/Operations shell V1</x:v>
      </x:c>
      <x:c r="AB14" s="73" t="str">
        <x:v>Planning · reuse TASK-WEB-SHELL-001 exactly; design page content and page-specific filters only.</x:v>
      </x:c>
      <x:c r="AC14" s="73" t="str">
        <x:v>Sponsor-accepted shared shell frozen; this screen still requires its own design and wiring gate</x:v>
      </x:c>
    </x:row>
    <x:row r="15" ht="96" customHeight="1">
      <x:c r="A15" s="74" t="n">
        <x:v>10</x:v>
      </x:c>
      <x:c r="B15" s="74" t="str">
        <x:v>Yes</x:v>
      </x:c>
      <x:c r="C15" s="74" t="str">
        <x:v>CD-026</x:v>
      </x:c>
      <x:c r="D15" s="74" t="str">
        <x:v>SCR-WEB-200</x:v>
      </x:c>
      <x:c r="E15" s="74" t="str">
        <x:v>Web — Visits</x:v>
      </x:c>
      <x:c r="F15" s="74" t="str">
        <x:v>Visit management workspace</x:v>
      </x:c>
      <x:c r="G15" s="74" t="str">
        <x:v>/visits; /visits/calendar; /visits/workload</x:v>
      </x:c>
      <x:c r="H15" s="74" t="str">
        <x:v>Planner; Operations; Branch Manager</x:v>
      </x:c>
      <x:c r="I15" s="74" t="str">
        <x:v>P03</x:v>
      </x:c>
      <x:c r="J15" s="74" t="str">
        <x:v>ENG-03, ENG-05, ENG-06, ENG-11, ENG-12</x:v>
      </x:c>
      <x:c r="K15" s="74" t="str">
        <x:v>apps/web/src/app/visits</x:v>
      </x:c>
      <x:c r="L15" s="74" t="str">
        <x:v>Search, monitor and act on visits across list, calendar, workload and map contexts.</x:v>
      </x:c>
      <x:c r="M15" s="74" t="str">
        <x:v>Separate unrelated pages force users to rebuild context and hide impossible travel or capacity patterns.</x:v>
      </x:c>
      <x:c r="N15" s="74" t="str">
        <x:v>List–calendar–workload–map continuity: selecting a visit highlights the same object and exposes the same allowed actions everywhere.</x:v>
      </x:c>
      <x:c r="O15" s="74" t="str">
        <x:v>Partial bulk failure, stale row, mixed planning/operational states and unauthorized actions.</x:v>
      </x:c>
      <x:c r="P15" s="74" t="str">
        <x:v>R01, R02, R06, R09, R11, R12</x:v>
      </x:c>
      <x:c r="Q15" s="74" t="str">
        <x:v>Dynamics schedule board, ArcGIS coordinated views and enterprise batch tables.</x:v>
      </x:c>
      <x:c r="R15" s="74" t="str">
        <x:v>No monolithic dispatch board or map-first screen that sacrifices table precision.</x:v>
      </x:c>
      <x:c r="S15" s="74" t="str">
        <x:v>KPI strip; saved filters; list; calendar; workload lanes; map; selected-object drawer; bulk bar; export; freshness; action guards.</x:v>
      </x:c>
      <x:c r="T15" s="74" t="str">
        <x:v>Loading; empty; no match; stale; partial bulk failure; unauthorized; service-degraded widget.</x:v>
      </x:c>
      <x:c r="U15" s="75" t="n">
        <x:v>5</x:v>
      </x:c>
      <x:c r="V15" s="75" t="n">
        <x:v>5</x:v>
      </x:c>
      <x:c r="W15" s="74" t="str">
        <x:v>NEXT WEB WAVE — CHALLENGE V2</x:v>
      </x:c>
      <x:c r="X15" s="74" t="str">
        <x:v>WEB NEXT</x:v>
      </x:c>
      <x:c r="Y15" s="74" t="str">
        <x:v>R18, R20, R21, R22 · three composition hypotheses · genericity test</x:v>
      </x:c>
      <x:c r="Z15" s="74" t="str">
        <x:v>DESIGN_APPROVED → WIRING_AUDIT → IMPLEMENTATION_AUTHORIZED → VERTICAL_SLICE_PASS</x:v>
      </x:c>
      <x:c r="AA15" s="79" t="str">
        <x:v>Shared Web/Operations shell V1</x:v>
      </x:c>
      <x:c r="AB15" s="79" t="str">
        <x:v>Visit Management · reuse TASK-WEB-SHELL-001 exactly; design page content and page-specific filters only.</x:v>
      </x:c>
      <x:c r="AC15" s="79" t="str">
        <x:v>Sponsor-accepted shared shell frozen; this screen still requires its own design and wiring gate</x:v>
      </x:c>
    </x:row>
    <x:row r="16" ht="96" customHeight="1">
      <x:c r="A16" s="68" t="n">
        <x:v>11</x:v>
      </x:c>
      <x:c r="B16" s="68" t="str">
        <x:v>Yes</x:v>
      </x:c>
      <x:c r="C16" s="68" t="str">
        <x:v>CD-027</x:v>
      </x:c>
      <x:c r="D16" s="68" t="str">
        <x:v>SCR-WEB-210</x:v>
      </x:c>
      <x:c r="E16" s="68" t="str">
        <x:v>Web — Visits</x:v>
      </x:c>
      <x:c r="F16" s="68" t="str">
        <x:v>Visit detail</x:v>
      </x:c>
      <x:c r="G16" s="68" t="str">
        <x:v>/visits/:id</x:v>
      </x:c>
      <x:c r="H16" s="68" t="str">
        <x:v>Planner; Operations; Inspector read context</x:v>
      </x:c>
      <x:c r="I16" s="68" t="str">
        <x:v>P03</x:v>
      </x:c>
      <x:c r="J16" s="68" t="str">
        <x:v>ENG-03, ENG-05, ENG-06, ENG-11, ENG-12</x:v>
      </x:c>
      <x:c r="K16" s="68" t="str">
        <x:v>apps/web/src/app/visits/[id]</x:v>
      </x:c>
      <x:c r="L16" s="68" t="str">
        <x:v>Understand the visit’s identity, state, assignment, package, timeline and exceptions, then take only valid actions.</x:v>
      </x:c>
      <x:c r="M16" s="68" t="str">
        <x:v>Visit details span planning and execution; a flat form obscures what may still change.</x:v>
      </x:c>
      <x:c r="N16" s="68" t="str">
        <x:v>Dual-state ribbon separates planning status, operational state, journey, inspection and review without collapsing them into one chip.</x:v>
      </x:c>
      <x:c r="O16" s="68" t="str">
        <x:v>Cancelled/expired visits, reassignment, conflict, returned plan and missing linked service.</x:v>
      </x:c>
      <x:c r="P16" s="68" t="str">
        <x:v>R01, R02, R11, R12</x:v>
      </x:c>
      <x:c r="Q16" s="68" t="str">
        <x:v>Fiori object page and auditable timeline patterns.</x:v>
      </x:c>
      <x:c r="R16" s="68" t="str">
        <x:v>No generic CRM record page or editable-all-fields screen.</x:v>
      </x:c>
      <x:c r="S16" s="68" t="str">
        <x:v>Identity header; dual-state ribbon; factory; assignment; schedule; package; map; notes/attachments; timeline; exceptions; allowed actions.</x:v>
      </x:c>
      <x:c r="T16" s="68" t="str">
        <x:v>Published; returned; cancelled; expired; executing; submitted; service degraded; not found/out of scope.</x:v>
      </x:c>
      <x:c r="U16" s="69" t="n">
        <x:v>5</x:v>
      </x:c>
      <x:c r="V16" s="69" t="n">
        <x:v>5</x:v>
      </x:c>
      <x:c r="W16" s="68" t="str">
        <x:v>NEXT WEB WAVE — CHALLENGE V2</x:v>
      </x:c>
      <x:c r="X16" s="68" t="str">
        <x:v>WEB NEXT</x:v>
      </x:c>
      <x:c r="Y16" s="68" t="str">
        <x:v>R18, R19, R24, R25 · three composition hypotheses · genericity test</x:v>
      </x:c>
      <x:c r="Z16" s="68" t="str">
        <x:v>DESIGN_APPROVED → WIRING_AUDIT → IMPLEMENTATION_AUTHORIZED → VERTICAL_SLICE_PASS</x:v>
      </x:c>
      <x:c r="AA16" s="73" t="str">
        <x:v>Shared Web/Operations shell V1</x:v>
      </x:c>
      <x:c r="AB16" s="73" t="str">
        <x:v>Visit Management · reuse TASK-WEB-SHELL-001 exactly; design page content and page-specific filters only.</x:v>
      </x:c>
      <x:c r="AC16" s="73" t="str">
        <x:v>Sponsor-accepted shared shell frozen; this screen still requires its own design and wiring gate</x:v>
      </x:c>
    </x:row>
    <x:row r="17" ht="96" customHeight="1">
      <x:c r="A17" s="74" t="n">
        <x:v>12</x:v>
      </x:c>
      <x:c r="B17" s="74" t="str">
        <x:v>Yes</x:v>
      </x:c>
      <x:c r="C17" s="74" t="str">
        <x:v>CD-028</x:v>
      </x:c>
      <x:c r="D17" s="74" t="str">
        <x:v>SCR-WEB-300</x:v>
      </x:c>
      <x:c r="E17" s="74" t="str">
        <x:v>Web — Review</x:v>
      </x:c>
      <x:c r="F17" s="74" t="str">
        <x:v>Level 2 review queue</x:v>
      </x:c>
      <x:c r="G17" s="74" t="str">
        <x:v>/reviews</x:v>
      </x:c>
      <x:c r="H17" s="74" t="str">
        <x:v>Level 2 Reviewer</x:v>
      </x:c>
      <x:c r="I17" s="74" t="str">
        <x:v>P10</x:v>
      </x:c>
      <x:c r="J17" s="74" t="str">
        <x:v>ENG-03, ENG-07, ENG-09, ENG-11, ENG-12</x:v>
      </x:c>
      <x:c r="K17" s="74" t="str">
        <x:v>apps/web/src/app/reviews/page.tsx</x:v>
      </x:c>
      <x:c r="L17" s="74" t="str">
        <x:v>Prioritize the right submission by SLA, risk, evidence and workload.</x:v>
      </x:c>
      <x:c r="M17" s="74" t="str">
        <x:v>Reviewers need to identify regulatory risk and missing evidence without opening every case.</x:v>
      </x:c>
      <x:c r="N17" s="74" t="str">
        <x:v>Evidence-readiness and SLA-risk fingerprint sits beside each immutable submission version.</x:v>
      </x:c>
      <x:c r="O17" s="74" t="str">
        <x:v>No evidence, stale assignment, multiple versions, critical violation and overdue review.</x:v>
      </x:c>
      <x:c r="P17" s="74" t="str">
        <x:v>R01, R02, R03, R11, R12</x:v>
      </x:c>
      <x:c r="Q17" s="74" t="str">
        <x:v>Inspection flagged-item review and enterprise worklist behavior.</x:v>
      </x:c>
      <x:c r="R17" s="74" t="str">
        <x:v>No ticket queue or severity-only prioritization.</x:v>
      </x:c>
      <x:c r="S17" s="74" t="str">
        <x:v>Search/filters; saved views; SLA; risk; critical count; evidence readiness; version; inspector; claim/reassign; workload context.</x:v>
      </x:c>
      <x:c r="T17" s="74" t="str">
        <x:v>Clear queue; filtered empty; overdue; unassigned; missing evidence; unauthorized; stale.</x:v>
      </x:c>
      <x:c r="U17" s="75" t="n">
        <x:v>4</x:v>
      </x:c>
      <x:c r="V17" s="75" t="n">
        <x:v>5</x:v>
      </x:c>
      <x:c r="W17" s="74" t="str">
        <x:v>NEXT WEB WAVE — CHALLENGE V2</x:v>
      </x:c>
      <x:c r="X17" s="74" t="str">
        <x:v>WEB NEXT</x:v>
      </x:c>
      <x:c r="Y17" s="74" t="str">
        <x:v>R17, R18, R19, R22 · three composition hypotheses · genericity test</x:v>
      </x:c>
      <x:c r="Z17" s="74" t="str">
        <x:v>DESIGN_APPROVED → WIRING_AUDIT → IMPLEMENTATION_AUTHORIZED → VERTICAL_SLICE_PASS</x:v>
      </x:c>
      <x:c r="AA17" s="79" t="str">
        <x:v>Shared Web/Operations shell V1</x:v>
      </x:c>
      <x:c r="AB17" s="79" t="str">
        <x:v>Review &amp; Approval · reuse TASK-WEB-SHELL-001 exactly; design page content and page-specific filters only.</x:v>
      </x:c>
      <x:c r="AC17" s="79" t="str">
        <x:v>Sponsor-accepted shared shell frozen; this screen still requires its own design and wiring gate</x:v>
      </x:c>
    </x:row>
    <x:row r="18" ht="96" customHeight="1">
      <x:c r="A18" s="68" t="n">
        <x:v>13</x:v>
      </x:c>
      <x:c r="B18" s="68" t="str">
        <x:v>Yes</x:v>
      </x:c>
      <x:c r="C18" s="68" t="str">
        <x:v>CD-029</x:v>
      </x:c>
      <x:c r="D18" s="68" t="str">
        <x:v>SCR-WEB-310</x:v>
      </x:c>
      <x:c r="E18" s="68" t="str">
        <x:v>Web — Review</x:v>
      </x:c>
      <x:c r="F18" s="68" t="str">
        <x:v>Level 2 review workspace</x:v>
      </x:c>
      <x:c r="G18" s="68" t="str">
        <x:v>/reviews/:id</x:v>
      </x:c>
      <x:c r="H18" s="68" t="str">
        <x:v>Level 2 Reviewer</x:v>
      </x:c>
      <x:c r="I18" s="68" t="str">
        <x:v>P10</x:v>
      </x:c>
      <x:c r="J18" s="68" t="str">
        <x:v>ENG-03, ENG-07, ENG-08, ENG-09, ENG-12</x:v>
      </x:c>
      <x:c r="K18" s="68" t="str">
        <x:v>apps/web/src/app/reviews/[id]</x:v>
      </x:c>
      <x:c r="L18" s="68" t="str">
        <x:v>Review immutable evidence and findings, then approve, return exact sections or reject with reason.</x:v>
      </x:c>
      <x:c r="M18" s="68" t="str">
        <x:v>Reviewers must compare evidence to rules without editing inspector content or losing context.</x:v>
      </x:c>
      <x:c r="N18" s="68" t="str">
        <x:v>Trace chain on every finding: question → response → evidence → clause → violation → action → decision comment.</x:v>
      </x:c>
      <x:c r="O18" s="68" t="str">
        <x:v>Missing evidence, stale version, return without scope, provider-degraded media and multiple high-severity findings.</x:v>
      </x:c>
      <x:c r="P18" s="68" t="str">
        <x:v>R01, R02, R03, R04, R11, R12</x:v>
      </x:c>
      <x:c r="Q18" s="68" t="str">
        <x:v>Inspection flagged-review behavior plus enterprise object/diff patterns.</x:v>
      </x:c>
      <x:c r="R18" s="68" t="str">
        <x:v>No document viewer with a decision form appended at the bottom.</x:v>
      </x:c>
      <x:c r="S18" s="68" t="str">
        <x:v>Section nav; immutable version banner; report/checklist; evidence viewer; findings; legal trace; timeline; decision rail; return-scope selector; reason.</x:v>
      </x:c>
      <x:c r="T18" s="68" t="str">
        <x:v>Pending; under review; media unavailable; stale version; approve; return validation; reject; decided locked.</x:v>
      </x:c>
      <x:c r="U18" s="69" t="n">
        <x:v>5</x:v>
      </x:c>
      <x:c r="V18" s="69" t="n">
        <x:v>5</x:v>
      </x:c>
      <x:c r="W18" s="68" t="str">
        <x:v>NEXT WEB WAVE — CHALLENGE V2</x:v>
      </x:c>
      <x:c r="X18" s="68" t="str">
        <x:v>WEB NEXT</x:v>
      </x:c>
      <x:c r="Y18" s="68" t="str">
        <x:v>R17, R18, R19, R24 · three composition hypotheses · genericity test</x:v>
      </x:c>
      <x:c r="Z18" s="68" t="str">
        <x:v>DESIGN_APPROVED → WIRING_AUDIT → IMPLEMENTATION_AUTHORIZED → VERTICAL_SLICE_PASS</x:v>
      </x:c>
      <x:c r="AA18" s="73" t="str">
        <x:v>Shared Web/Operations shell V1</x:v>
      </x:c>
      <x:c r="AB18" s="73" t="str">
        <x:v>Review &amp; Approval · reuse TASK-WEB-SHELL-001 exactly; design page content and page-specific filters only.</x:v>
      </x:c>
      <x:c r="AC18" s="73" t="str">
        <x:v>Sponsor-accepted shared shell frozen; this screen still requires its own design and wiring gate</x:v>
      </x:c>
    </x:row>
    <x:row r="19" ht="96" customHeight="1">
      <x:c r="A19" s="74" t="n">
        <x:v>14</x:v>
      </x:c>
      <x:c r="B19" s="74" t="str">
        <x:v>Yes</x:v>
      </x:c>
      <x:c r="C19" s="74" t="str">
        <x:v>CD-030</x:v>
      </x:c>
      <x:c r="D19" s="74" t="str">
        <x:v>SCR-WEB-320</x:v>
      </x:c>
      <x:c r="E19" s="74" t="str">
        <x:v>Web — Review</x:v>
      </x:c>
      <x:c r="F19" s="74" t="str">
        <x:v>Version comparison</x:v>
      </x:c>
      <x:c r="G19" s="74" t="str">
        <x:v>/reviews/:id (compare mode)</x:v>
      </x:c>
      <x:c r="H19" s="74" t="str">
        <x:v>Reviewer; Auditor</x:v>
      </x:c>
      <x:c r="I19" s="74" t="str">
        <x:v>P11</x:v>
      </x:c>
      <x:c r="J19" s="74" t="str">
        <x:v>ENG-07, ENG-09, ENG-12</x:v>
      </x:c>
      <x:c r="K19" s="74" t="str">
        <x:v>apps/web/src/app/reviews/[id]</x:v>
      </x:c>
      <x:c r="L19" s="74" t="str">
        <x:v>Understand exactly what changed between returned and resubmitted immutable versions.</x:v>
      </x:c>
      <x:c r="M19" s="74" t="str">
        <x:v>Reviewers need to verify requested corrections while trusting that locked sections did not change.</x:v>
      </x:c>
      <x:c r="N19" s="74" t="str">
        <x:v>Tamper-evident scope rail separates expected changes, unexpected changes and unchanged locked content.</x:v>
      </x:c>
      <x:c r="O19" s="74" t="str">
        <x:v>Evidence added/removed, incompatible package, reordered sections and changed metadata without changed answer.</x:v>
      </x:c>
      <x:c r="P19" s="74" t="str">
        <x:v>R01, R02, R11, R12</x:v>
      </x:c>
      <x:c r="Q19" s="74" t="str">
        <x:v>Enterprise comparison patterns adapted to selective-unlock inspection versions.</x:v>
      </x:c>
      <x:c r="R19" s="74" t="str">
        <x:v>No code-diff aesthetic or red/green-only comparison.</x:v>
      </x:c>
      <x:c r="S19" s="74" t="str">
        <x:v>Version selectors; returned-scope summary; changed-section nav; field diff; evidence diff; comments; metadata; unexpected-change alert; accept navigation.</x:v>
      </x:c>
      <x:c r="T19" s="74" t="str">
        <x:v>No prior version; compatible; unexpected locked change; missing evidence; incompatible package; service degraded.</x:v>
      </x:c>
      <x:c r="U19" s="75" t="n">
        <x:v>5</x:v>
      </x:c>
      <x:c r="V19" s="75" t="n">
        <x:v>5</x:v>
      </x:c>
      <x:c r="W19" s="74" t="str">
        <x:v>NEXT WEB WAVE — CHALLENGE V2</x:v>
      </x:c>
      <x:c r="X19" s="74" t="str">
        <x:v>WEB NEXT</x:v>
      </x:c>
      <x:c r="Y19" s="74" t="str">
        <x:v>R17, R18, R19, R24 · three composition hypotheses · genericity test</x:v>
      </x:c>
      <x:c r="Z19" s="74" t="str">
        <x:v>DESIGN_APPROVED → WIRING_AUDIT → IMPLEMENTATION_AUTHORIZED → VERTICAL_SLICE_PASS</x:v>
      </x:c>
      <x:c r="AA19" s="79" t="str">
        <x:v>Shared Web/Operations shell V1</x:v>
      </x:c>
      <x:c r="AB19" s="79" t="str">
        <x:v>Review &amp; Approval · reuse TASK-WEB-SHELL-001 exactly; design page content and page-specific filters only.</x:v>
      </x:c>
      <x:c r="AC19" s="79" t="str">
        <x:v>Sponsor-accepted shared shell frozen; this screen still requires its own design and wiring gate</x:v>
      </x:c>
    </x:row>
    <x:row r="20" ht="96" customHeight="1">
      <x:c r="A20" s="68" t="n">
        <x:v>15</x:v>
      </x:c>
      <x:c r="B20" s="68" t="str">
        <x:v>Yes</x:v>
      </x:c>
      <x:c r="C20" s="68" t="str">
        <x:v>CD-031</x:v>
      </x:c>
      <x:c r="D20" s="68" t="str">
        <x:v>SCR-WEB-400</x:v>
      </x:c>
      <x:c r="E20" s="68" t="str">
        <x:v>Web — Factory</x:v>
      </x:c>
      <x:c r="F20" s="68" t="str">
        <x:v>Factory 360</x:v>
      </x:c>
      <x:c r="G20" s="68" t="str">
        <x:v>/factories/:id</x:v>
      </x:c>
      <x:c r="H20" s="68" t="str">
        <x:v>Planner; Inspector; Reviewer; Operations; Leadership</x:v>
      </x:c>
      <x:c r="I20" s="68" t="str">
        <x:v>P12</x:v>
      </x:c>
      <x:c r="J20" s="68" t="str">
        <x:v>ENG-04, ENG-06, ENG-07, ENG-08, ENG-09, ENG-12</x:v>
      </x:c>
      <x:c r="K20" s="68" t="str">
        <x:v>apps/web/src/app/factories/[id]</x:v>
      </x:c>
      <x:c r="L20" s="68" t="str">
        <x:v>Build a trusted understanding of one factory before planning, inspecting or deciding.</x:v>
      </x:c>
      <x:c r="M20" s="68" t="str">
        <x:v>Factory context is fragmented across registries, inspections and maps; decisions need one explainable narrative.</x:v>
      </x:c>
      <x:c r="N20" s="68" t="str">
        <x:v>Spatial case timeline connects factory location, inspection events, evidence, decisions and risk recalculation.</x:v>
      </x:c>
      <x:c r="O20" s="68" t="str">
        <x:v>Subservice degraded, stale registry, conflicting coordinates, masked data and no inspection history.</x:v>
      </x:c>
      <x:c r="P20" s="68" t="str">
        <x:v>R01, R02, R07, R09, R11</x:v>
      </x:c>
      <x:c r="Q20" s="68" t="str">
        <x:v>Field Maps asset context, ArcGIS coordinated spatial views and Fiori object-page structure.</x:v>
      </x:c>
      <x:c r="R20" s="68" t="str">
        <x:v>No CRM 360 card wall or decorative risk gauge.</x:v>
      </x:c>
      <x:c r="S20" s="68" t="str">
        <x:v>Identity/license/CR; provenance; map/boundary; risk drivers; history cycles; findings/actions; documents; timeline; service freshness; role-masked sections.</x:v>
      </x:c>
      <x:c r="T20" s="68" t="str">
        <x:v>Complete; no history; stale source; map unavailable; one service failed; unauthorized section; high risk.</x:v>
      </x:c>
      <x:c r="U20" s="69" t="n">
        <x:v>5</x:v>
      </x:c>
      <x:c r="V20" s="69" t="n">
        <x:v>5</x:v>
      </x:c>
      <x:c r="W20" s="68" t="str">
        <x:v>NEXT WEB WAVE — CHALLENGE V2</x:v>
      </x:c>
      <x:c r="X20" s="68" t="str">
        <x:v>WEB NEXT</x:v>
      </x:c>
      <x:c r="Y20" s="68" t="str">
        <x:v>R16, R17, R19, R21 · three composition hypotheses · genericity test</x:v>
      </x:c>
      <x:c r="Z20" s="68" t="str">
        <x:v>DESIGN_APPROVED → WIRING_AUDIT → IMPLEMENTATION_AUTHORIZED → VERTICAL_SLICE_PASS</x:v>
      </x:c>
      <x:c r="AA20" s="73" t="str">
        <x:v>Shared Web/Operations shell V1</x:v>
      </x:c>
      <x:c r="AB20" s="73" t="str">
        <x:v>Factory 360 · reuse TASK-WEB-SHELL-001 exactly; design page content and page-specific filters only.</x:v>
      </x:c>
      <x:c r="AC20" s="73" t="str">
        <x:v>Sponsor-accepted shared shell frozen; this screen still requires its own design and wiring gate</x:v>
      </x:c>
    </x:row>
    <x:row r="21" ht="96" customHeight="1">
      <x:c r="A21" s="74" t="n">
        <x:v>16</x:v>
      </x:c>
      <x:c r="B21" s="74" t="str">
        <x:v>Yes</x:v>
      </x:c>
      <x:c r="C21" s="74" t="str">
        <x:v>CD-032</x:v>
      </x:c>
      <x:c r="D21" s="74" t="str">
        <x:v>SCR-WEB-500</x:v>
      </x:c>
      <x:c r="E21" s="74" t="str">
        <x:v>Operations</x:v>
      </x:c>
      <x:c r="F21" s="74" t="str">
        <x:v>Operations Center and authenticated map</x:v>
      </x:c>
      <x:c r="G21" s="74" t="str">
        <x:v>/operations; /operations/live</x:v>
      </x:c>
      <x:c r="H21" s="74" t="str">
        <x:v>Operations; Supervisor; Leadership</x:v>
      </x:c>
      <x:c r="I21" s="74" t="str">
        <x:v>P12</x:v>
      </x:c>
      <x:c r="J21" s="74" t="str">
        <x:v>ENG-03, ENG-04, ENG-06, ENG-08, ENG-09, ENG-11, ENG-12</x:v>
      </x:c>
      <x:c r="K21" s="74" t="str">
        <x:v>apps/web/src/app/operations</x:v>
      </x:c>
      <x:c r="L21" s="74" t="str">
        <x:v>See what needs attention now, understand why, and resolve exceptions without losing geographic context.</x:v>
      </x:c>
      <x:c r="M21" s="74" t="str">
        <x:v>A command center fails if it is merely cinematic. Every signal needs source, freshness, scope and an action.</x:v>
      </x:c>
      <x:c r="N21" s="74" t="str">
        <x:v>Truth-layer switch separates Published plan, Projected route and future Genuine telemetry; projected movement is permanently labeled.</x:v>
      </x:c>
      <x:c r="O21" s="74" t="str">
        <x:v>Stale telemetry, provider failure, centroid circles, partial widget fault, privacy scope and alert storms.</x:v>
      </x:c>
      <x:c r="P21" s="74" t="str">
        <x:v>R01, R02, R06, R09, R12</x:v>
      </x:c>
      <x:c r="Q21" s="74" t="str">
        <x:v>ArcGIS coordinated dashboards and Dynamics dispatch context, governed by Saqeel truth labels.</x:v>
      </x:c>
      <x:c r="R21" s="74" t="str">
        <x:v>No NASA-style wall, invented live GPS, or map that dominates without actionable lists.</x:v>
      </x:c>
      <x:c r="S21" s="74" t="str">
        <x:v>Operational KPIs; KSA map; layer/legend; monitored visits; SLA watch; alerts; workload; corrective actions; provider/freshness; selected visit drawer; export.</x:v>
      </x:c>
      <x:c r="T21" s="74" t="str">
        <x:v>Normal; projected; genuine-live future; stale; widget failure; tile failure; no visits; privacy-limited; alert resolved.</x:v>
      </x:c>
      <x:c r="U21" s="75" t="n">
        <x:v>5</x:v>
      </x:c>
      <x:c r="V21" s="75" t="n">
        <x:v>5</x:v>
      </x:c>
      <x:c r="W21" s="74" t="str">
        <x:v>QUEUED AFTER WEB WAVE</x:v>
      </x:c>
      <x:c r="X21" s="74" t="str">
        <x:v>WEB/OPS FOLLOW</x:v>
      </x:c>
      <x:c r="Y21" s="74" t="str">
        <x:v>V2 universal research + three composition hypotheses</x:v>
      </x:c>
      <x:c r="Z21" s="74" t="str">
        <x:v>DESIGN_APPROVED → WIRING_AUDIT → IMPLEMENTATION_AUTHORIZED → VERTICAL_SLICE_PASS</x:v>
      </x:c>
      <x:c r="AA21" s="79" t="str">
        <x:v>Shared Web/Operations shell V1</x:v>
      </x:c>
      <x:c r="AB21" s="79" t="str">
        <x:v>Dashboard / Operations Center · reuse TASK-WEB-SHELL-001 exactly; design page content and page-specific filters only.</x:v>
      </x:c>
      <x:c r="AC21" s="79" t="str">
        <x:v>Sponsor-accepted shared shell frozen; this screen still requires its own design and wiring gate</x:v>
      </x:c>
    </x:row>
    <x:row r="22" ht="96" customHeight="1">
      <x:c r="A22" s="68" t="n">
        <x:v>17</x:v>
      </x:c>
      <x:c r="B22" s="68" t="str">
        <x:v>Yes</x:v>
      </x:c>
      <x:c r="C22" s="68" t="str">
        <x:v>CD-004</x:v>
      </x:c>
      <x:c r="D22" s="68" t="str">
        <x:v>SCR-ADM-001</x:v>
      </x:c>
      <x:c r="E22" s="68" t="str">
        <x:v>Admin</x:v>
      </x:c>
      <x:c r="F22" s="68" t="str">
        <x:v>Admin control-plane home</x:v>
      </x:c>
      <x:c r="G22" s="68" t="str">
        <x:v>/admin</x:v>
      </x:c>
      <x:c r="H22" s="68" t="str">
        <x:v>Compliance, Business and Technical Admin</x:v>
      </x:c>
      <x:c r="I22" s="68" t="str">
        <x:v>P00</x:v>
      </x:c>
      <x:c r="J22" s="68" t="str">
        <x:v>ENG-01..ENG-12</x:v>
      </x:c>
      <x:c r="K22" s="68" t="str">
        <x:v>apps/web/src/app/admin/page.tsx</x:v>
      </x:c>
      <x:c r="L22" s="68" t="str">
        <x:v>Know what is healthy, what is draft, what is blocked and what needs approval before runtime is affected.</x:v>
      </x:c>
      <x:c r="M22" s="68" t="str">
        <x:v>Admin engines are control planes. Counts alone cannot reveal dependency risk, unpublished change, approval debt or runtime consumption.</x:v>
      </x:c>
      <x:c r="N22" s="68" t="str">
        <x:v>A ‘configuration health spine’ links Draft → Validate → Approve → Publish → Runtime evidence across all engines.</x:v>
      </x:c>
      <x:c r="O22" s="68" t="str">
        <x:v>One broken or stale engine must be isolated without implying the entire platform is down.</x:v>
      </x:c>
      <x:c r="P22" s="68" t="str">
        <x:v>R01, R02, R09, R11, R12</x:v>
      </x:c>
      <x:c r="Q22" s="68" t="str">
        <x:v>ArcGIS operational attention hierarchy plus Fiori role overview and Carbon status discipline.</x:v>
      </x:c>
      <x:c r="R22" s="68" t="str">
        <x:v>No generic KPI-card dashboard or wall of equal tiles.</x:v>
      </x:c>
      <x:c r="S22" s="68" t="str">
        <x:v>Health summary; pending approvals; publish blockers; runtime version map; dependency warnings; recent audit; engine ownership; direct actions.</x:v>
      </x:c>
      <x:c r="T22" s="68" t="str">
        <x:v>Healthy; drafts pending; approval overdue; publish blocked; degraded service; unauthorized; empty new environment.</x:v>
      </x:c>
      <x:c r="U22" s="69" t="n">
        <x:v>5</x:v>
      </x:c>
      <x:c r="V22" s="69" t="n">
        <x:v>5</x:v>
      </x:c>
      <x:c r="W22" s="68" t="str">
        <x:v>QUEUED AFTER WEB WAVE</x:v>
      </x:c>
      <x:c r="X22" s="68" t="str">
        <x:v>DEFERRED</x:v>
      </x:c>
      <x:c r="Y22" s="68" t="str">
        <x:v>V2 universal research + three composition hypotheses</x:v>
      </x:c>
      <x:c r="Z22" s="68" t="str">
        <x:v>DESIGN_APPROVED → WIRING_AUDIT → IMPLEMENTATION_AUTHORIZED → VERTICAL_SLICE_PASS</x:v>
      </x:c>
      <x:c r="AA22" s="73" t="str">
        <x:v>Shared Admin control-plane shell V1</x:v>
      </x:c>
      <x:c r="AB22" s="73" t="str">
        <x:v>Approval &amp; Configuration · server-role-scoped group; no CRUD-only or unsupported placeholder tab.</x:v>
      </x:c>
      <x:c r="AC22" s="73" t="str">
        <x:v>Sponsor-accepted shared shell frozen; this control-plane screen still requires its own design and wiring gate</x:v>
      </x:c>
    </x:row>
    <x:row r="23" ht="96" customHeight="1">
      <x:c r="A23" s="74" t="n">
        <x:v>18</x:v>
      </x:c>
      <x:c r="B23" s="74" t="str">
        <x:v>Yes</x:v>
      </x:c>
      <x:c r="C23" s="74" t="str">
        <x:v>CD-005</x:v>
      </x:c>
      <x:c r="D23" s="74" t="str">
        <x:v>SCR-ADM-010</x:v>
      </x:c>
      <x:c r="E23" s="74" t="str">
        <x:v>Admin</x:v>
      </x:c>
      <x:c r="F23" s="74" t="str">
        <x:v>Regulation library</x:v>
      </x:c>
      <x:c r="G23" s="74" t="str">
        <x:v>/admin/regulations</x:v>
      </x:c>
      <x:c r="H23" s="74" t="str">
        <x:v>Compliance Admin</x:v>
      </x:c>
      <x:c r="I23" s="74" t="str">
        <x:v>P00</x:v>
      </x:c>
      <x:c r="J23" s="74" t="str">
        <x:v>ENG-01, ENG-12</x:v>
      </x:c>
      <x:c r="K23" s="74" t="str">
        <x:v>apps/web/src/app/admin/regulations</x:v>
      </x:c>
      <x:c r="L23" s="74" t="str">
        <x:v>Find, compare and govern regulations by lifecycle, applicability and effective date.</x:v>
      </x:c>
      <x:c r="M23" s="74" t="str">
        <x:v>A regulation is not a row; it is the source of clauses, questions, violations and reports.</x:v>
      </x:c>
      <x:c r="N23" s="74" t="str">
        <x:v>Each regulation exposes an impact footprint before it is opened: mapped items, packages, active inspections and future effective date.</x:v>
      </x:c>
      <x:c r="O23" s="74" t="str">
        <x:v>Overlapping effective dates, orphan clauses and superseded versions must be obvious.</x:v>
      </x:c>
      <x:c r="P23" s="74" t="str">
        <x:v>R01, R02, R11, R12</x:v>
      </x:c>
      <x:c r="Q23" s="74" t="str">
        <x:v>Fiori list-report clarity and Carbon dense-table accessibility, adapted to regulatory provenance.</x:v>
      </x:c>
      <x:c r="R23" s="74" t="str">
        <x:v>No spreadsheet-like CRUD grid or unexplained legal badges.</x:v>
      </x:c>
      <x:c r="S23" s="74" t="str">
        <x:v>Search/filter; lifecycle tabs; owner; effective dates; source provenance; impact count; version; create draft; validation markers.</x:v>
      </x:c>
      <x:c r="T23" s="74" t="str">
        <x:v>No records; loading; filtered empty; invalid dates; publish blocked; published locked; unauthorized.</x:v>
      </x:c>
      <x:c r="U23" s="75" t="n">
        <x:v>4</x:v>
      </x:c>
      <x:c r="V23" s="75" t="n">
        <x:v>5</x:v>
      </x:c>
      <x:c r="W23" s="74" t="str">
        <x:v>QUEUED AFTER WEB WAVE</x:v>
      </x:c>
      <x:c r="X23" s="74" t="str">
        <x:v>DEFERRED</x:v>
      </x:c>
      <x:c r="Y23" s="74" t="str">
        <x:v>V2 universal research + three composition hypotheses</x:v>
      </x:c>
      <x:c r="Z23" s="74" t="str">
        <x:v>DESIGN_APPROVED → WIRING_AUDIT → IMPLEMENTATION_AUTHORIZED → VERTICAL_SLICE_PASS</x:v>
      </x:c>
      <x:c r="AA23" s="79" t="str">
        <x:v>Shared Admin control-plane shell V1</x:v>
      </x:c>
      <x:c r="AB23" s="79" t="str">
        <x:v>Compliance Library · server-role-scoped group; no CRUD-only or unsupported placeholder tab.</x:v>
      </x:c>
      <x:c r="AC23" s="79" t="str">
        <x:v>Sponsor-accepted shared shell frozen; this control-plane screen still requires its own design and wiring gate</x:v>
      </x:c>
    </x:row>
    <x:row r="24" ht="96" customHeight="1">
      <x:c r="A24" s="68" t="n">
        <x:v>19</x:v>
      </x:c>
      <x:c r="B24" s="68" t="str">
        <x:v>Yes</x:v>
      </x:c>
      <x:c r="C24" s="68" t="str">
        <x:v>CD-006</x:v>
      </x:c>
      <x:c r="D24" s="68" t="str">
        <x:v>SCR-ADM-011</x:v>
      </x:c>
      <x:c r="E24" s="68" t="str">
        <x:v>Admin</x:v>
      </x:c>
      <x:c r="F24" s="68" t="str">
        <x:v>Regulation detail and version</x:v>
      </x:c>
      <x:c r="G24" s="68" t="str">
        <x:v>/admin/regulations (detail mode)</x:v>
      </x:c>
      <x:c r="H24" s="68" t="str">
        <x:v>Compliance Admin; Approver</x:v>
      </x:c>
      <x:c r="I24" s="68" t="str">
        <x:v>P00</x:v>
      </x:c>
      <x:c r="J24" s="68" t="str">
        <x:v>ENG-01, ENG-12</x:v>
      </x:c>
      <x:c r="K24" s="68" t="str">
        <x:v>apps/web/src/app/admin/regulations</x:v>
      </x:c>
      <x:c r="L24" s="68" t="str">
        <x:v>Edit a draft, understand dependencies, compare versions and publish safely.</x:v>
      </x:c>
      <x:c r="M24" s="68" t="str">
        <x:v>The highest-risk action is not editing text; it is changing the meaning consumed by future inspections.</x:v>
      </x:c>
      <x:c r="N24" s="68" t="str">
        <x:v>Clause-to-runtime trace: regulation clause → inspection item → package → evidence/violation/report.</x:v>
      </x:c>
      <x:c r="O24" s="68" t="str">
        <x:v>A published version is locked while a successor draft may coexist; reviewers need side-by-side meaning changes.</x:v>
      </x:c>
      <x:c r="P24" s="68" t="str">
        <x:v>R01, R02, R10, R11</x:v>
      </x:c>
      <x:c r="Q24" s="68" t="str">
        <x:v>Fiori object page plus Camunda-like governed publish confidence.</x:v>
      </x:c>
      <x:c r="R24" s="68" t="str">
        <x:v>No word-processor clone or hidden dependency drawer.</x:v>
      </x:c>
      <x:c r="S24" s="68" t="str">
        <x:v>Metadata header; clause navigator; applicability; legal reference; version compare; dependency map; audit timeline; validate/submit/approve/publish.</x:v>
      </x:c>
      <x:c r="T24" s="68" t="str">
        <x:v>Draft; validation errors; submitted; approved; published locked; superseded; dependency conflict.</x:v>
      </x:c>
      <x:c r="U24" s="69" t="n">
        <x:v>5</x:v>
      </x:c>
      <x:c r="V24" s="69" t="n">
        <x:v>5</x:v>
      </x:c>
      <x:c r="W24" s="68" t="str">
        <x:v>QUEUED AFTER WEB WAVE</x:v>
      </x:c>
      <x:c r="X24" s="68" t="str">
        <x:v>DEFERRED</x:v>
      </x:c>
      <x:c r="Y24" s="68" t="str">
        <x:v>V2 universal research + three composition hypotheses</x:v>
      </x:c>
      <x:c r="Z24" s="68" t="str">
        <x:v>DESIGN_APPROVED → WIRING_AUDIT → IMPLEMENTATION_AUTHORIZED → VERTICAL_SLICE_PASS</x:v>
      </x:c>
      <x:c r="AA24" s="73" t="str">
        <x:v>Shared Admin control-plane shell V1</x:v>
      </x:c>
      <x:c r="AB24" s="73" t="str">
        <x:v>Compliance Library · server-role-scoped group; no CRUD-only or unsupported placeholder tab.</x:v>
      </x:c>
      <x:c r="AC24" s="73" t="str">
        <x:v>Sponsor-accepted shared shell frozen; this control-plane screen still requires its own design and wiring gate</x:v>
      </x:c>
    </x:row>
    <x:row r="25" ht="96" customHeight="1">
      <x:c r="A25" s="74" t="n">
        <x:v>20</x:v>
      </x:c>
      <x:c r="B25" s="74" t="str">
        <x:v>Yes</x:v>
      </x:c>
      <x:c r="C25" s="74" t="str">
        <x:v>CD-007</x:v>
      </x:c>
      <x:c r="D25" s="74" t="str">
        <x:v>SCR-ADM-020</x:v>
      </x:c>
      <x:c r="E25" s="74" t="str">
        <x:v>Admin</x:v>
      </x:c>
      <x:c r="F25" s="74" t="str">
        <x:v>Inspection item catalogue</x:v>
      </x:c>
      <x:c r="G25" s="74" t="str">
        <x:v>/admin/items</x:v>
      </x:c>
      <x:c r="H25" s="74" t="str">
        <x:v>Compliance Admin; Form Admin</x:v>
      </x:c>
      <x:c r="I25" s="74" t="str">
        <x:v>P00</x:v>
      </x:c>
      <x:c r="J25" s="74" t="str">
        <x:v>ENG-01, ENG-02, ENG-07</x:v>
      </x:c>
      <x:c r="K25" s="74" t="str">
        <x:v>apps/web/src/app/admin/items</x:v>
      </x:c>
      <x:c r="L25" s="74" t="str">
        <x:v>Define reusable inspection questions with unambiguous runtime meaning.</x:v>
      </x:c>
      <x:c r="M25" s="74" t="str">
        <x:v>Questions that look similar can behave differently in the field; the catalogue must prevent semantic ambiguity.</x:v>
      </x:c>
      <x:c r="N25" s="74" t="str">
        <x:v>A compact ‘runtime preview strip’ shows how the item behaves on iPad and what finding/evidence it can trigger.</x:v>
      </x:c>
      <x:c r="O25" s="74" t="str">
        <x:v>Conditional items, duplicate codes and response meanings that change across versions.</x:v>
      </x:c>
      <x:c r="P25" s="74" t="str">
        <x:v>R01, R02, R03, R07, R11, R12</x:v>
      </x:c>
      <x:c r="Q25" s="74" t="str">
        <x:v>SafetyCulture form semantics, Field Maps form configuration and enterprise catalogue patterns.</x:v>
      </x:c>
      <x:c r="R25" s="74" t="str">
        <x:v>No generic survey builder or template marketplace look.</x:v>
      </x:c>
      <x:c r="S25" s="74" t="str">
        <x:v>Item code/title; clause; response model; required/conditional rule; evidence; scoring; guidance; usage count; runtime preview.</x:v>
      </x:c>
      <x:c r="T25" s="74" t="str">
        <x:v>Empty; duplicate; invalid mapping; conditional rule error; deactivated; published-use warning.</x:v>
      </x:c>
      <x:c r="U25" s="75" t="n">
        <x:v>4</x:v>
      </x:c>
      <x:c r="V25" s="75" t="n">
        <x:v>5</x:v>
      </x:c>
      <x:c r="W25" s="74" t="str">
        <x:v>QUEUED AFTER WEB WAVE</x:v>
      </x:c>
      <x:c r="X25" s="74" t="str">
        <x:v>DEFERRED</x:v>
      </x:c>
      <x:c r="Y25" s="74" t="str">
        <x:v>V2 universal research + three composition hypotheses</x:v>
      </x:c>
      <x:c r="Z25" s="74" t="str">
        <x:v>DESIGN_APPROVED → WIRING_AUDIT → IMPLEMENTATION_AUTHORIZED → VERTICAL_SLICE_PASS</x:v>
      </x:c>
      <x:c r="AA25" s="79" t="str">
        <x:v>Shared Admin control-plane shell V1</x:v>
      </x:c>
      <x:c r="AB25" s="79" t="str">
        <x:v>Administration · server-role-scoped group; no CRUD-only or unsupported placeholder tab.</x:v>
      </x:c>
      <x:c r="AC25" s="79" t="str">
        <x:v>Sponsor-accepted shared shell frozen; this control-plane screen still requires its own design and wiring gate</x:v>
      </x:c>
    </x:row>
    <x:row r="26" ht="96" customHeight="1">
      <x:c r="A26" s="68" t="n">
        <x:v>21</x:v>
      </x:c>
      <x:c r="B26" s="68" t="str">
        <x:v>Yes</x:v>
      </x:c>
      <x:c r="C26" s="68" t="str">
        <x:v>CD-008</x:v>
      </x:c>
      <x:c r="D26" s="68" t="str">
        <x:v>SCR-ADM-030</x:v>
      </x:c>
      <x:c r="E26" s="68" t="str">
        <x:v>Admin</x:v>
      </x:c>
      <x:c r="F26" s="68" t="str">
        <x:v>Package library</x:v>
      </x:c>
      <x:c r="G26" s="68" t="str">
        <x:v>/admin/packages</x:v>
      </x:c>
      <x:c r="H26" s="68" t="str">
        <x:v>Form Admin; Compliance Admin</x:v>
      </x:c>
      <x:c r="I26" s="68" t="str">
        <x:v>P00</x:v>
      </x:c>
      <x:c r="J26" s="68" t="str">
        <x:v>ENG-02, ENG-12</x:v>
      </x:c>
      <x:c r="K26" s="68" t="str">
        <x:v>apps/web/src/app/admin/packages</x:v>
      </x:c>
      <x:c r="L26" s="68" t="str">
        <x:v>Find the right package version and know whether it is safe for use.</x:v>
      </x:c>
      <x:c r="M26" s="68" t="str">
        <x:v>Planners and inspectors depend on the published package version; a package name alone is insufficient.</x:v>
      </x:c>
      <x:c r="N26" s="68" t="str">
        <x:v>Coverage fingerprint summarizes sections, items, evidence rules, activities and unresolved dependencies.</x:v>
      </x:c>
      <x:c r="O26" s="68" t="str">
        <x:v>Old inspections must remain pinned to old package versions while new visits use the new version.</x:v>
      </x:c>
      <x:c r="P26" s="68" t="str">
        <x:v>R01, R02, R11, R12</x:v>
      </x:c>
      <x:c r="Q26" s="68" t="str">
        <x:v>Fiori list/object pairing and Carbon expandable data rows.</x:v>
      </x:c>
      <x:c r="R26" s="68" t="str">
        <x:v>No card marketplace or static template gallery.</x:v>
      </x:c>
      <x:c r="S26" s="68" t="str">
        <x:v>Package/version; scope; status; effective date; dependency health; usage count; coverage fingerprint; clone/preview/validate/publish.</x:v>
      </x:c>
      <x:c r="T26" s="68" t="str">
        <x:v>No package; draft; submitted; published; superseded; unresolved item; active dependency.</x:v>
      </x:c>
      <x:c r="U26" s="69" t="n">
        <x:v>4</x:v>
      </x:c>
      <x:c r="V26" s="69" t="n">
        <x:v>5</x:v>
      </x:c>
      <x:c r="W26" s="68" t="str">
        <x:v>QUEUED AFTER WEB WAVE</x:v>
      </x:c>
      <x:c r="X26" s="68" t="str">
        <x:v>DEFERRED</x:v>
      </x:c>
      <x:c r="Y26" s="68" t="str">
        <x:v>V2 universal research + three composition hypotheses</x:v>
      </x:c>
      <x:c r="Z26" s="68" t="str">
        <x:v>DESIGN_APPROVED → WIRING_AUDIT → IMPLEMENTATION_AUTHORIZED → VERTICAL_SLICE_PASS</x:v>
      </x:c>
      <x:c r="AA26" s="73" t="str">
        <x:v>Shared Admin control-plane shell V1</x:v>
      </x:c>
      <x:c r="AB26" s="73" t="str">
        <x:v>Packages &amp; Surveys · server-role-scoped group; no CRUD-only or unsupported placeholder tab.</x:v>
      </x:c>
      <x:c r="AC26" s="73" t="str">
        <x:v>Sponsor-accepted shared shell frozen; this control-plane screen still requires its own design and wiring gate</x:v>
      </x:c>
    </x:row>
    <x:row r="27" ht="96" customHeight="1">
      <x:c r="A27" s="74" t="n">
        <x:v>22</x:v>
      </x:c>
      <x:c r="B27" s="74" t="str">
        <x:v>Yes</x:v>
      </x:c>
      <x:c r="C27" s="74" t="str">
        <x:v>CD-009</x:v>
      </x:c>
      <x:c r="D27" s="74" t="str">
        <x:v>SCR-ADM-031</x:v>
      </x:c>
      <x:c r="E27" s="74" t="str">
        <x:v>Admin</x:v>
      </x:c>
      <x:c r="F27" s="74" t="str">
        <x:v>Package and form designer</x:v>
      </x:c>
      <x:c r="G27" s="74" t="str">
        <x:v>/admin/packages (designer mode)</x:v>
      </x:c>
      <x:c r="H27" s="74" t="str">
        <x:v>Form Admin</x:v>
      </x:c>
      <x:c r="I27" s="74" t="str">
        <x:v>P00</x:v>
      </x:c>
      <x:c r="J27" s="74" t="str">
        <x:v>ENG-01, ENG-02, ENG-07, ENG-08</x:v>
      </x:c>
      <x:c r="K27" s="74" t="str">
        <x:v>apps/web/src/app/admin/packages</x:v>
      </x:c>
      <x:c r="L27" s="74" t="str">
        <x:v>Compose sections, rules, evidence and actions, then prove the package behaves correctly.</x:v>
      </x:c>
      <x:c r="M27" s="74" t="str">
        <x:v>A constrained builder must expose logic and downstream consequences without becoming an ungoverned no-code platform.</x:v>
      </x:c>
      <x:c r="N27" s="74" t="str">
        <x:v>‘Inspection consequence preview’ shows not only the question but the evidence, violation, action and review outcome it can produce.</x:v>
      </x:c>
      <x:c r="O27" s="74" t="str">
        <x:v>Circular conditions, hidden mandatory items, inaccessible field layouts and rules that work online but not offline.</x:v>
      </x:c>
      <x:c r="P27" s="74" t="str">
        <x:v>R01, R02, R03, R07, R10, R11</x:v>
      </x:c>
      <x:c r="Q27" s="74" t="str">
        <x:v>SafetyCulture inspection authoring, Field Maps form configuration and Camunda test-before-deploy discipline.</x:v>
      </x:c>
      <x:c r="R27" s="74" t="str">
        <x:v>No drag-anything canvas, BPMN palette, or consumer-form aesthetic.</x:v>
      </x:c>
      <x:c r="S27" s="74" t="str">
        <x:v>Section tree; item canvas; inspector; condition builder; evidence rule; action trigger; bilingual preview; simulation; validation; impact; publish controls.</x:v>
      </x:c>
      <x:c r="T27" s="74" t="str">
        <x:v>Clean draft; unsaved; validation errors; circular logic; preview; test pass/fail; submitted; published locked.</x:v>
      </x:c>
      <x:c r="U27" s="75" t="n">
        <x:v>5</x:v>
      </x:c>
      <x:c r="V27" s="75" t="n">
        <x:v>5</x:v>
      </x:c>
      <x:c r="W27" s="74" t="str">
        <x:v>QUEUED AFTER WEB WAVE</x:v>
      </x:c>
      <x:c r="X27" s="74" t="str">
        <x:v>DEFERRED</x:v>
      </x:c>
      <x:c r="Y27" s="74" t="str">
        <x:v>V2 universal research + three composition hypotheses</x:v>
      </x:c>
      <x:c r="Z27" s="74" t="str">
        <x:v>DESIGN_APPROVED → WIRING_AUDIT → IMPLEMENTATION_AUTHORIZED → VERTICAL_SLICE_PASS</x:v>
      </x:c>
      <x:c r="AA27" s="79" t="str">
        <x:v>Shared Admin control-plane shell V1</x:v>
      </x:c>
      <x:c r="AB27" s="79" t="str">
        <x:v>Packages &amp; Surveys · server-role-scoped group; no CRUD-only or unsupported placeholder tab.</x:v>
      </x:c>
      <x:c r="AC27" s="79" t="str">
        <x:v>Sponsor-accepted shared shell frozen; this control-plane screen still requires its own design and wiring gate</x:v>
      </x:c>
    </x:row>
    <x:row r="28" ht="96" customHeight="1">
      <x:c r="A28" s="68" t="n">
        <x:v>23</x:v>
      </x:c>
      <x:c r="B28" s="68" t="str">
        <x:v>Yes</x:v>
      </x:c>
      <x:c r="C28" s="68" t="str">
        <x:v>CD-010</x:v>
      </x:c>
      <x:c r="D28" s="68" t="str">
        <x:v>SCR-ADM-040</x:v>
      </x:c>
      <x:c r="E28" s="68" t="str">
        <x:v>Admin</x:v>
      </x:c>
      <x:c r="F28" s="68" t="str">
        <x:v>Violation catalogue</x:v>
      </x:c>
      <x:c r="G28" s="68" t="str">
        <x:v>/admin/violations</x:v>
      </x:c>
      <x:c r="H28" s="68" t="str">
        <x:v>Compliance Admin</x:v>
      </x:c>
      <x:c r="I28" s="68" t="str">
        <x:v>P00</x:v>
      </x:c>
      <x:c r="J28" s="68" t="str">
        <x:v>ENG-08, ENG-12</x:v>
      </x:c>
      <x:c r="K28" s="68" t="str">
        <x:v>apps/web/src/app/admin/violations</x:v>
      </x:c>
      <x:c r="L28" s="68" t="str">
        <x:v>Govern violation codes, legal anchors, severity and applicability.</x:v>
      </x:c>
      <x:c r="M28" s="68" t="str">
        <x:v>Violations are generated outcomes, not inspector free text; legal basis and version are essential.</x:v>
      </x:c>
      <x:c r="N28" s="68" t="str">
        <x:v>Each violation displays a trace ribbon from triggering response to legal clause and corrective-action consequence.</x:v>
      </x:c>
      <x:c r="O28" s="68" t="str">
        <x:v>Orphan mappings, duplicate codes, deactivation while historical records remain valid.</x:v>
      </x:c>
      <x:c r="P28" s="68" t="str">
        <x:v>R01, R02, R04, R11, R12</x:v>
      </x:c>
      <x:c r="Q28" s="68" t="str">
        <x:v>Inspection issue/action continuity with enterprise catalogue discipline.</x:v>
      </x:c>
      <x:c r="R28" s="68" t="str">
        <x:v>No simple severity-colored table that hides legal meaning.</x:v>
      </x:c>
      <x:c r="S28" s="68" t="str">
        <x:v>Code/title; level; category; legal basis; applicability; active dates; trigger mapping; usage count; lifecycle actions.</x:v>
      </x:c>
      <x:c r="T28" s="68" t="str">
        <x:v>Empty; duplicate; orphan; active; future; deactivated; locked by use.</x:v>
      </x:c>
      <x:c r="U28" s="69" t="n">
        <x:v>4</x:v>
      </x:c>
      <x:c r="V28" s="69" t="n">
        <x:v>5</x:v>
      </x:c>
      <x:c r="W28" s="68" t="str">
        <x:v>QUEUED AFTER WEB WAVE</x:v>
      </x:c>
      <x:c r="X28" s="68" t="str">
        <x:v>DEFERRED</x:v>
      </x:c>
      <x:c r="Y28" s="68" t="str">
        <x:v>V2 universal research + three composition hypotheses</x:v>
      </x:c>
      <x:c r="Z28" s="68" t="str">
        <x:v>DESIGN_APPROVED → WIRING_AUDIT → IMPLEMENTATION_AUTHORIZED → VERTICAL_SLICE_PASS</x:v>
      </x:c>
      <x:c r="AA28" s="73" t="str">
        <x:v>Shared Admin control-plane shell V1</x:v>
      </x:c>
      <x:c r="AB28" s="73" t="str">
        <x:v>Enforcement Library · server-role-scoped group; no CRUD-only or unsupported placeholder tab.</x:v>
      </x:c>
      <x:c r="AC28" s="73" t="str">
        <x:v>Sponsor-accepted shared shell frozen; this control-plane screen still requires its own design and wiring gate</x:v>
      </x:c>
    </x:row>
    <x:row r="29" ht="96" customHeight="1">
      <x:c r="A29" s="74" t="n">
        <x:v>24</x:v>
      </x:c>
      <x:c r="B29" s="74" t="str">
        <x:v>Yes</x:v>
      </x:c>
      <x:c r="C29" s="74" t="str">
        <x:v>CD-011</x:v>
      </x:c>
      <x:c r="D29" s="74" t="str">
        <x:v>SCR-ADM-041</x:v>
      </x:c>
      <x:c r="E29" s="74" t="str">
        <x:v>Admin</x:v>
      </x:c>
      <x:c r="F29" s="74" t="str">
        <x:v>Penalty mapping</x:v>
      </x:c>
      <x:c r="G29" s="74" t="str">
        <x:v>/admin/violations (penalty mode)</x:v>
      </x:c>
      <x:c r="H29" s="74" t="str">
        <x:v>Compliance Admin; Approver</x:v>
      </x:c>
      <x:c r="I29" s="74" t="str">
        <x:v>P00</x:v>
      </x:c>
      <x:c r="J29" s="74" t="str">
        <x:v>ENG-08, ENG-12</x:v>
      </x:c>
      <x:c r="K29" s="74" t="str">
        <x:v>apps/web/src/app/admin/violations</x:v>
      </x:c>
      <x:c r="L29" s="74" t="str">
        <x:v>Map violations to approved penalty records and detect conflicts before publish.</x:v>
      </x:c>
      <x:c r="M29" s="74" t="str">
        <x:v>Cardinality, ranges, repeat rules and legal anchors create risks invisible in a flat form.</x:v>
      </x:c>
      <x:c r="N29" s="74" t="str">
        <x:v>Conflict lens highlights overlaps, gaps and repeated-offence escalations with example outcomes.</x:v>
      </x:c>
      <x:c r="O29" s="74" t="str">
        <x:v>One-to-one constraints, overlapping effective periods and penalty context that inspectors may view but cannot edit.</x:v>
      </x:c>
      <x:c r="P29" s="74" t="str">
        <x:v>R01, R02, R10, R11, R12</x:v>
      </x:c>
      <x:c r="Q29" s="74" t="str">
        <x:v>Decision-model transparency and enterprise relationship management.</x:v>
      </x:c>
      <x:c r="R29" s="74" t="str">
        <x:v>No spreadsheet matrix with unexplained colored cells.</x:v>
      </x:c>
      <x:c r="S29" s="74" t="str">
        <x:v>Violation selector; penalty record; range; repeat rule; cardinality; legal basis; version; examples; validate/publish.</x:v>
      </x:c>
      <x:c r="T29" s="74" t="str">
        <x:v>Unmapped; valid; overlap; missing legal basis; submitted; approved; published locked.</x:v>
      </x:c>
      <x:c r="U29" s="75" t="n">
        <x:v>4</x:v>
      </x:c>
      <x:c r="V29" s="75" t="n">
        <x:v>4</x:v>
      </x:c>
      <x:c r="W29" s="74" t="str">
        <x:v>QUEUED AFTER WEB WAVE</x:v>
      </x:c>
      <x:c r="X29" s="74" t="str">
        <x:v>DEFERRED</x:v>
      </x:c>
      <x:c r="Y29" s="74" t="str">
        <x:v>V2 universal research + three composition hypotheses</x:v>
      </x:c>
      <x:c r="Z29" s="74" t="str">
        <x:v>DESIGN_APPROVED → WIRING_AUDIT → IMPLEMENTATION_AUTHORIZED → VERTICAL_SLICE_PASS</x:v>
      </x:c>
      <x:c r="AA29" s="79" t="str">
        <x:v>Shared Admin control-plane shell V1</x:v>
      </x:c>
      <x:c r="AB29" s="79" t="str">
        <x:v>Enforcement Library · server-role-scoped group; no CRUD-only or unsupported placeholder tab.</x:v>
      </x:c>
      <x:c r="AC29" s="79" t="str">
        <x:v>Sponsor-accepted shared shell frozen; this control-plane screen still requires its own design and wiring gate</x:v>
      </x:c>
    </x:row>
    <x:row r="30" ht="96" customHeight="1">
      <x:c r="A30" s="68" t="n">
        <x:v>25</x:v>
      </x:c>
      <x:c r="B30" s="68" t="str">
        <x:v>Yes</x:v>
      </x:c>
      <x:c r="C30" s="68" t="str">
        <x:v>CD-012</x:v>
      </x:c>
      <x:c r="D30" s="68" t="str">
        <x:v>SCR-ADM-050</x:v>
      </x:c>
      <x:c r="E30" s="68" t="str">
        <x:v>Admin</x:v>
      </x:c>
      <x:c r="F30" s="68" t="str">
        <x:v>Workflow library</x:v>
      </x:c>
      <x:c r="G30" s="68" t="str">
        <x:v>/admin/workflows</x:v>
      </x:c>
      <x:c r="H30" s="68" t="str">
        <x:v>Workflow Admin</x:v>
      </x:c>
      <x:c r="I30" s="68" t="str">
        <x:v>P00</x:v>
      </x:c>
      <x:c r="J30" s="68" t="str">
        <x:v>ENG-03, ENG-11, ENG-12</x:v>
      </x:c>
      <x:c r="K30" s="68" t="str">
        <x:v>apps/web/src/app/admin/workflows</x:v>
      </x:c>
      <x:c r="L30" s="68" t="str">
        <x:v>Find workflow definitions and understand version, coverage and validation health.</x:v>
      </x:c>
      <x:c r="M30" s="68" t="str">
        <x:v>Workflow cannot be reduced to status labels; users need confidence that guards and side effects are valid.</x:v>
      </x:c>
      <x:c r="N30" s="68" t="str">
        <x:v>Each workflow has a miniature lifecycle signature showing states, terminals, SLA and unresolved paths.</x:v>
      </x:c>
      <x:c r="O30" s="68" t="str">
        <x:v>Unreachable states, circular terminal paths and active versions used by in-flight cases.</x:v>
      </x:c>
      <x:c r="P30" s="68" t="str">
        <x:v>R01, R02, R10, R11, R12</x:v>
      </x:c>
      <x:c r="Q30" s="68" t="str">
        <x:v>Camunda model governance plus Fiori deployable-object library.</x:v>
      </x:c>
      <x:c r="R30" s="68" t="str">
        <x:v>No BPMN diagram thumbnails as the only summary.</x:v>
      </x:c>
      <x:c r="S30" s="68" t="str">
        <x:v>Workflow/object; version; lifecycle signature; status; effective date; tests; runtime cases; clone/open/publish.</x:v>
      </x:c>
      <x:c r="T30" s="68" t="str">
        <x:v>Empty; draft; test failures; submitted; published; superseded; in-use warning.</x:v>
      </x:c>
      <x:c r="U30" s="69" t="n">
        <x:v>4</x:v>
      </x:c>
      <x:c r="V30" s="69" t="n">
        <x:v>5</x:v>
      </x:c>
      <x:c r="W30" s="68" t="str">
        <x:v>QUEUED AFTER WEB WAVE</x:v>
      </x:c>
      <x:c r="X30" s="68" t="str">
        <x:v>DEFERRED</x:v>
      </x:c>
      <x:c r="Y30" s="68" t="str">
        <x:v>V2 universal research + three composition hypotheses</x:v>
      </x:c>
      <x:c r="Z30" s="68" t="str">
        <x:v>DESIGN_APPROVED → WIRING_AUDIT → IMPLEMENTATION_AUTHORIZED → VERTICAL_SLICE_PASS</x:v>
      </x:c>
      <x:c r="AA30" s="73" t="str">
        <x:v>Shared Admin control-plane shell V1</x:v>
      </x:c>
      <x:c r="AB30" s="73" t="str">
        <x:v>Workflow Configuration · server-role-scoped group; no CRUD-only or unsupported placeholder tab.</x:v>
      </x:c>
      <x:c r="AC30" s="73" t="str">
        <x:v>Sponsor-accepted shared shell frozen; this control-plane screen still requires its own design and wiring gate</x:v>
      </x:c>
    </x:row>
    <x:row r="31" ht="96" customHeight="1">
      <x:c r="A31" s="74" t="n">
        <x:v>26</x:v>
      </x:c>
      <x:c r="B31" s="74" t="str">
        <x:v>Yes</x:v>
      </x:c>
      <x:c r="C31" s="74" t="str">
        <x:v>CD-013</x:v>
      </x:c>
      <x:c r="D31" s="74" t="str">
        <x:v>SCR-ADM-051</x:v>
      </x:c>
      <x:c r="E31" s="74" t="str">
        <x:v>Admin</x:v>
      </x:c>
      <x:c r="F31" s="74" t="str">
        <x:v>Workflow designer</x:v>
      </x:c>
      <x:c r="G31" s="74" t="str">
        <x:v>/admin/workflows (designer mode)</x:v>
      </x:c>
      <x:c r="H31" s="74" t="str">
        <x:v>Workflow Admin; Approver</x:v>
      </x:c>
      <x:c r="I31" s="74" t="str">
        <x:v>P00</x:v>
      </x:c>
      <x:c r="J31" s="74" t="str">
        <x:v>ENG-03, ENG-11, ENG-12</x:v>
      </x:c>
      <x:c r="K31" s="74" t="str">
        <x:v>apps/web/src/app/admin/workflows</x:v>
      </x:c>
      <x:c r="L31" s="74" t="str">
        <x:v>Configure and test states, transitions, actors, guards, SLA and side effects.</x:v>
      </x:c>
      <x:c r="M31" s="74" t="str">
        <x:v>Visual elegance is dangerous if guards, actors and side effects are hidden. The model must be explainable and testable.</x:v>
      </x:c>
      <x:c r="N31" s="74" t="str">
        <x:v>Scenario replay animates a real inspection case through guards, notifications and audit events before publish.</x:v>
      </x:c>
      <x:c r="O31" s="74" t="str">
        <x:v>Unauthorized transitions, returned-scope loops, unreachable states and circular terminal logic.</x:v>
      </x:c>
      <x:c r="P31" s="74" t="str">
        <x:v>R01, R02, R10, R11</x:v>
      </x:c>
      <x:c r="Q31" s="74" t="str">
        <x:v>Camunda’s model/test/deploy concept adapted to the accepted Saqeel state machine.</x:v>
      </x:c>
      <x:c r="R31" s="74" t="str">
        <x:v>No generic BPMN editor, free-form diagramming, or direct status-edit tool.</x:v>
      </x:c>
      <x:c r="S31" s="74" t="str">
        <x:v>State canvas; transition panel; actor/guard builder; required fields; side effects; SLA/notification; scenario inputs; test results; impact; publish.</x:v>
      </x:c>
      <x:c r="T31" s="74" t="str">
        <x:v>Draft; invalid edge; unreachable state; failing simulation; passed; submitted; approved; published locked.</x:v>
      </x:c>
      <x:c r="U31" s="75" t="n">
        <x:v>5</x:v>
      </x:c>
      <x:c r="V31" s="75" t="n">
        <x:v>5</x:v>
      </x:c>
      <x:c r="W31" s="74" t="str">
        <x:v>QUEUED AFTER WEB WAVE</x:v>
      </x:c>
      <x:c r="X31" s="74" t="str">
        <x:v>DEFERRED</x:v>
      </x:c>
      <x:c r="Y31" s="74" t="str">
        <x:v>V2 universal research + three composition hypotheses</x:v>
      </x:c>
      <x:c r="Z31" s="74" t="str">
        <x:v>DESIGN_APPROVED → WIRING_AUDIT → IMPLEMENTATION_AUTHORIZED → VERTICAL_SLICE_PASS</x:v>
      </x:c>
      <x:c r="AA31" s="79" t="str">
        <x:v>Shared Admin control-plane shell V1</x:v>
      </x:c>
      <x:c r="AB31" s="79" t="str">
        <x:v>Workflow Configuration · server-role-scoped group; no CRUD-only or unsupported placeholder tab.</x:v>
      </x:c>
      <x:c r="AC31" s="79" t="str">
        <x:v>Sponsor-accepted shared shell frozen; this control-plane screen still requires its own design and wiring gate</x:v>
      </x:c>
    </x:row>
    <x:row r="32" ht="96" customHeight="1">
      <x:c r="A32" s="68" t="n">
        <x:v>27</x:v>
      </x:c>
      <x:c r="B32" s="68" t="str">
        <x:v>Yes</x:v>
      </x:c>
      <x:c r="C32" s="68" t="str">
        <x:v>CD-014</x:v>
      </x:c>
      <x:c r="D32" s="68" t="str">
        <x:v>SCR-ADM-060</x:v>
      </x:c>
      <x:c r="E32" s="68" t="str">
        <x:v>Admin</x:v>
      </x:c>
      <x:c r="F32" s="68" t="str">
        <x:v>Risk configuration</x:v>
      </x:c>
      <x:c r="G32" s="68" t="str">
        <x:v>/admin/risk</x:v>
      </x:c>
      <x:c r="H32" s="68" t="str">
        <x:v>Risk Owner; Compliance Admin</x:v>
      </x:c>
      <x:c r="I32" s="68" t="str">
        <x:v>P00</x:v>
      </x:c>
      <x:c r="J32" s="68" t="str">
        <x:v>ENG-04, ENG-12</x:v>
      </x:c>
      <x:c r="K32" s="68" t="str">
        <x:v>apps/web/src/app/admin/risk</x:v>
      </x:c>
      <x:c r="L32" s="68" t="str">
        <x:v>Understand and govern the approved risk model and test its output on representative factories.</x:v>
      </x:c>
      <x:c r="M32" s="68" t="str">
        <x:v>A decorative risk gauge cannot support targeting or audit. Users must see why a score exists.</x:v>
      </x:c>
      <x:c r="N32" s="68" t="str">
        <x:v>‘Why this factory?’ simulation connects input provenance to score, band and planning consequence.</x:v>
      </x:c>
      <x:c r="O32" s="68" t="str">
        <x:v>Missing source data, stale inputs, model version changes and threshold-edge factories.</x:v>
      </x:c>
      <x:c r="P32" s="68" t="str">
        <x:v>R01, R02, R11, R12</x:v>
      </x:c>
      <x:c r="Q32" s="68" t="str">
        <x:v>Enterprise analytical object-page patterns; internal accepted risk model is the only source of values.</x:v>
      </x:c>
      <x:c r="R32" s="68" t="str">
        <x:v>No black-box AI score, radar chart theatre or invented advanced Risk Studio.</x:v>
      </x:c>
      <x:c r="S32" s="68" t="str">
        <x:v>Version; drivers; weights; thresholds; source freshness; formula reference; sample factory; calculation trace; compare versions; validate/publish.</x:v>
      </x:c>
      <x:c r="T32" s="68" t="str">
        <x:v>Complete; missing source; stale; threshold edge; test pass/fail; draft; published.</x:v>
      </x:c>
      <x:c r="U32" s="69" t="n">
        <x:v>4</x:v>
      </x:c>
      <x:c r="V32" s="69" t="n">
        <x:v>5</x:v>
      </x:c>
      <x:c r="W32" s="68" t="str">
        <x:v>QUEUED AFTER WEB WAVE</x:v>
      </x:c>
      <x:c r="X32" s="68" t="str">
        <x:v>DEFERRED</x:v>
      </x:c>
      <x:c r="Y32" s="68" t="str">
        <x:v>V2 universal research + three composition hypotheses</x:v>
      </x:c>
      <x:c r="Z32" s="68" t="str">
        <x:v>DESIGN_APPROVED → WIRING_AUDIT → IMPLEMENTATION_AUTHORIZED → VERTICAL_SLICE_PASS</x:v>
      </x:c>
      <x:c r="AA32" s="73" t="str">
        <x:v>Shared Admin control-plane shell V1</x:v>
      </x:c>
      <x:c r="AB32" s="73" t="str">
        <x:v>Risk Configuration · server-role-scoped group; no CRUD-only or unsupported placeholder tab.</x:v>
      </x:c>
      <x:c r="AC32" s="73" t="str">
        <x:v>Sponsor-accepted shared shell frozen; this control-plane screen still requires its own design and wiring gate</x:v>
      </x:c>
    </x:row>
    <x:row r="33" ht="96" customHeight="1">
      <x:c r="A33" s="74" t="n">
        <x:v>28</x:v>
      </x:c>
      <x:c r="B33" s="74" t="str">
        <x:v>Yes</x:v>
      </x:c>
      <x:c r="C33" s="74" t="str">
        <x:v>CD-015</x:v>
      </x:c>
      <x:c r="D33" s="74" t="str">
        <x:v>SCR-ADM-070</x:v>
      </x:c>
      <x:c r="E33" s="74" t="str">
        <x:v>Admin</x:v>
      </x:c>
      <x:c r="F33" s="74" t="str">
        <x:v>GIS and geofence studio</x:v>
      </x:c>
      <x:c r="G33" s="74" t="str">
        <x:v>/admin/gis</x:v>
      </x:c>
      <x:c r="H33" s="74" t="str">
        <x:v>GIS Admin; Technical Admin</x:v>
      </x:c>
      <x:c r="I33" s="74" t="str">
        <x:v>P00</x:v>
      </x:c>
      <x:c r="J33" s="74" t="str">
        <x:v>ENG-06, ENG-12</x:v>
      </x:c>
      <x:c r="K33" s="74" t="str">
        <x:v>apps/web/src/app/admin/gis</x:v>
      </x:c>
      <x:c r="L33" s="74" t="str">
        <x:v>Validate factory locations, geofences and exception policy before field use.</x:v>
      </x:c>
      <x:c r="M33" s="74" t="str">
        <x:v>A map alone creates false confidence. Source, accuracy, geometry validity and approval status must travel with every location.</x:v>
      </x:c>
      <x:c r="N33" s="74" t="str">
        <x:v>Location confidence stack shows official point, verified point, boundary, geofence and last field evidence without overwriting provenance.</x:v>
      </x:c>
      <x:c r="O33" s="74" t="str">
        <x:v>Invalid polygons, wrong official coordinates, external tiles unavailable and centroid approximations.</x:v>
      </x:c>
      <x:c r="P33" s="74" t="str">
        <x:v>R01, R02, R07, R08, R09</x:v>
      </x:c>
      <x:c r="Q33" s="74" t="str">
        <x:v>Field Maps preparation/offline diagnostics and map-linked operational controls.</x:v>
      </x:c>
      <x:c r="R33" s="74" t="str">
        <x:v>No ArcGIS desktop clone or unlabeled choropleth.</x:v>
      </x:c>
      <x:c r="S33" s="74" t="str">
        <x:v>Layer controls; factory search; source points; polygon/radius; accuracy/arrival thresholds; override roles; validation; preview; impact; publish.</x:v>
      </x:c>
      <x:c r="T33" s="74" t="str">
        <x:v>Valid; invalid geometry; missing coordinate; source mismatch; tile unavailable; stale; draft; published.</x:v>
      </x:c>
      <x:c r="U33" s="75" t="n">
        <x:v>5</x:v>
      </x:c>
      <x:c r="V33" s="75" t="n">
        <x:v>5</x:v>
      </x:c>
      <x:c r="W33" s="74" t="str">
        <x:v>QUEUED AFTER WEB WAVE</x:v>
      </x:c>
      <x:c r="X33" s="74" t="str">
        <x:v>DEFERRED</x:v>
      </x:c>
      <x:c r="Y33" s="74" t="str">
        <x:v>V2 universal research + three composition hypotheses</x:v>
      </x:c>
      <x:c r="Z33" s="74" t="str">
        <x:v>DESIGN_APPROVED → WIRING_AUDIT → IMPLEMENTATION_AUTHORIZED → VERTICAL_SLICE_PASS</x:v>
      </x:c>
      <x:c r="AA33" s="79" t="str">
        <x:v>Shared Admin control-plane shell V1</x:v>
      </x:c>
      <x:c r="AB33" s="79" t="str">
        <x:v>GIS Configuration · server-role-scoped group; no CRUD-only or unsupported placeholder tab.</x:v>
      </x:c>
      <x:c r="AC33" s="79" t="str">
        <x:v>Sponsor-accepted shared shell frozen; this control-plane screen still requires its own design and wiring gate</x:v>
      </x:c>
    </x:row>
    <x:row r="34" ht="96" customHeight="1">
      <x:c r="A34" s="68" t="n">
        <x:v>29</x:v>
      </x:c>
      <x:c r="B34" s="68" t="str">
        <x:v>Yes</x:v>
      </x:c>
      <x:c r="C34" s="68" t="str">
        <x:v>CD-016</x:v>
      </x:c>
      <x:c r="D34" s="68" t="str">
        <x:v>SCR-ADM-080</x:v>
      </x:c>
      <x:c r="E34" s="68" t="str">
        <x:v>Admin</x:v>
      </x:c>
      <x:c r="F34" s="68" t="str">
        <x:v>Notification and SLA rules</x:v>
      </x:c>
      <x:c r="G34" s="68" t="str">
        <x:v>/admin (current consolidated surface)</x:v>
      </x:c>
      <x:c r="H34" s="68" t="str">
        <x:v>Business Admin; Technical Admin</x:v>
      </x:c>
      <x:c r="I34" s="68" t="str">
        <x:v>P00</x:v>
      </x:c>
      <x:c r="J34" s="68" t="str">
        <x:v>ENG-11, ENG-12</x:v>
      </x:c>
      <x:c r="K34" s="68" t="str">
        <x:v>apps/web/src/app/admin/page.tsx; apps/web/src/components/NotificationBell.tsx</x:v>
      </x:c>
      <x:c r="L34" s="68" t="str">
        <x:v>Configure event, recipient, template, timer and escalation rules and know delivery-provider truth.</x:v>
      </x:c>
      <x:c r="M34" s="68" t="str">
        <x:v>Notifications are operational controls, not message templates. Wrong recipients or silent provider failure can break SLA.</x:v>
      </x:c>
      <x:c r="N34" s="68" t="str">
        <x:v>A timeline simulator previews reminder, breach and escalation against the accepted work calendar.</x:v>
      </x:c>
      <x:c r="O34" s="68" t="str">
        <x:v>Provider unavailable, partial-channel delivery, duplicate notification and paused SLA during correction.</x:v>
      </x:c>
      <x:c r="P34" s="68" t="str">
        <x:v>R01, R02, R10, R11, R12</x:v>
      </x:c>
      <x:c r="Q34" s="68" t="str">
        <x:v>Workflow test discipline plus enterprise rule and status patterns.</x:v>
      </x:c>
      <x:c r="R34" s="68" t="str">
        <x:v>No marketing-automation campaign builder.</x:v>
      </x:c>
      <x:c r="S34" s="68" t="str">
        <x:v>Event catalogue; recipient rules; channels; template; work calendar; reminders; escalation; provider status; test; delivery audit; activate.</x:v>
      </x:c>
      <x:c r="T34" s="68" t="str">
        <x:v>Draft; invalid recipient; provider pending; test sent/failed; active; paused; breached; deactivated.</x:v>
      </x:c>
      <x:c r="U34" s="69" t="n">
        <x:v>4</x:v>
      </x:c>
      <x:c r="V34" s="69" t="n">
        <x:v>4</x:v>
      </x:c>
      <x:c r="W34" s="68" t="str">
        <x:v>QUEUED AFTER WEB WAVE</x:v>
      </x:c>
      <x:c r="X34" s="68" t="str">
        <x:v>DEFERRED</x:v>
      </x:c>
      <x:c r="Y34" s="68" t="str">
        <x:v>V2 universal research + three composition hypotheses</x:v>
      </x:c>
      <x:c r="Z34" s="68" t="str">
        <x:v>DESIGN_APPROVED → WIRING_AUDIT → IMPLEMENTATION_AUTHORIZED → VERTICAL_SLICE_PASS</x:v>
      </x:c>
      <x:c r="AA34" s="73" t="str">
        <x:v>Shared Admin control-plane shell V1</x:v>
      </x:c>
      <x:c r="AB34" s="73" t="str">
        <x:v>Notification Configuration — HANDOFF_BLOCKED · server-role-scoped group; no CRUD-only or unsupported placeholder tab.</x:v>
      </x:c>
      <x:c r="AC34" s="73" t="str">
        <x:v>Sponsor-accepted shell frozen; notification-configuration destination remains hidden until governed</x:v>
      </x:c>
    </x:row>
    <x:row r="35" ht="96" customHeight="1">
      <x:c r="A35" s="74" t="n">
        <x:v>30</x:v>
      </x:c>
      <x:c r="B35" s="74" t="str">
        <x:v>Yes</x:v>
      </x:c>
      <x:c r="C35" s="74" t="str">
        <x:v>CD-017</x:v>
      </x:c>
      <x:c r="D35" s="74" t="str">
        <x:v>SCR-ADM-090</x:v>
      </x:c>
      <x:c r="E35" s="74" t="str">
        <x:v>Admin</x:v>
      </x:c>
      <x:c r="F35" s="74" t="str">
        <x:v>Roles and permissions</x:v>
      </x:c>
      <x:c r="G35" s="74" t="str">
        <x:v>/admin/access</x:v>
      </x:c>
      <x:c r="H35" s="74" t="str">
        <x:v>Security Admin</x:v>
      </x:c>
      <x:c r="I35" s="74" t="str">
        <x:v>P00</x:v>
      </x:c>
      <x:c r="J35" s="74" t="str">
        <x:v>ENG-12</x:v>
      </x:c>
      <x:c r="K35" s="74" t="str">
        <x:v>apps/web/src/app/admin/access</x:v>
      </x:c>
      <x:c r="L35" s="74" t="str">
        <x:v>Understand and safely change role, channel, action and data scope.</x:v>
      </x:c>
      <x:c r="M35" s="74" t="str">
        <x:v>Checkboxes alone hide inherited access, data scope and privilege conflicts.</x:v>
      </x:c>
      <x:c r="N35" s="74" t="str">
        <x:v>‘Can this user do this?’ simulator explains effective access with role, scope, guard and RLS evidence.</x:v>
      </x:c>
      <x:c r="O35" s="74" t="str">
        <x:v>Multi-role users, self-escalation, maker-checker conflicts and permission beyond administrator authority.</x:v>
      </x:c>
      <x:c r="P35" s="74" t="str">
        <x:v>R01, R02, R11, R12</x:v>
      </x:c>
      <x:c r="Q35" s="74" t="str">
        <x:v>Enterprise matrix interaction and explainable access evaluation.</x:v>
      </x:c>
      <x:c r="R35" s="74" t="str">
        <x:v>No IAM product clone or raw policy editor.</x:v>
      </x:c>
      <x:c r="S35" s="74" t="str">
        <x:v>Role list; capability matrix; channel/action/data scope; inheritance; segregation warnings; compare; simulator; approval/publish; audit.</x:v>
      </x:c>
      <x:c r="T35" s="74" t="str">
        <x:v>View; draft; conflict; unauthorized grant; submitted; published; effective-access denied.</x:v>
      </x:c>
      <x:c r="U35" s="75" t="n">
        <x:v>5</x:v>
      </x:c>
      <x:c r="V35" s="75" t="n">
        <x:v>5</x:v>
      </x:c>
      <x:c r="W35" s="74" t="str">
        <x:v>QUEUED AFTER WEB WAVE</x:v>
      </x:c>
      <x:c r="X35" s="74" t="str">
        <x:v>DEFERRED</x:v>
      </x:c>
      <x:c r="Y35" s="74" t="str">
        <x:v>V2 universal research + three composition hypotheses</x:v>
      </x:c>
      <x:c r="Z35" s="74" t="str">
        <x:v>DESIGN_APPROVED → WIRING_AUDIT → IMPLEMENTATION_AUTHORIZED → VERTICAL_SLICE_PASS</x:v>
      </x:c>
      <x:c r="AA35" s="79" t="str">
        <x:v>Shared Admin control-plane shell V1</x:v>
      </x:c>
      <x:c r="AB35" s="79" t="str">
        <x:v>Users &amp; Roles · server-role-scoped group; no CRUD-only or unsupported placeholder tab.</x:v>
      </x:c>
      <x:c r="AC35" s="79" t="str">
        <x:v>Sponsor-accepted shared shell frozen; this control-plane screen still requires its own design and wiring gate</x:v>
      </x:c>
    </x:row>
    <x:row r="36" ht="96" customHeight="1">
      <x:c r="A36" s="68" t="n">
        <x:v>31</x:v>
      </x:c>
      <x:c r="B36" s="68" t="str">
        <x:v>Supplemental</x:v>
      </x:c>
      <x:c r="C36" s="68" t="str">
        <x:v>CD-018</x:v>
      </x:c>
      <x:c r="D36" s="68" t="str">
        <x:v>ADM-LOCALIZATION</x:v>
      </x:c>
      <x:c r="E36" s="68" t="str">
        <x:v>Admin</x:v>
      </x:c>
      <x:c r="F36" s="68" t="str">
        <x:v>Localization studio</x:v>
      </x:c>
      <x:c r="G36" s="68" t="str">
        <x:v>/admin/localization</x:v>
      </x:c>
      <x:c r="H36" s="68" t="str">
        <x:v>Localization Reviewer; Admin</x:v>
      </x:c>
      <x:c r="I36" s="68" t="str">
        <x:v>Cross-cutting</x:v>
      </x:c>
      <x:c r="J36" s="68" t="str">
        <x:v>ENG-12</x:v>
      </x:c>
      <x:c r="K36" s="68" t="str">
        <x:v>apps/web/src/app/admin/localization</x:v>
      </x:c>
      <x:c r="L36" s="68" t="str">
        <x:v>Find untranslated or drifted strings, review Arabic, and restore versioned content safely.</x:v>
      </x:c>
      <x:c r="M36" s="68" t="str">
        <x:v>Translation quality depends on context, layout risk and review state, not only completion percentage.</x:v>
      </x:c>
      <x:c r="N36" s="68" t="str">
        <x:v>Every string can open its screen context and flag expansion/RTL risk before approval.</x:v>
      </x:c>
      <x:c r="O36" s="68" t="str">
        <x:v>English-source drift, Arabic fallback, long translations, placeholders and pluralization.</x:v>
      </x:c>
      <x:c r="P36" s="68" t="str">
        <x:v>R01, R02, R11, R12</x:v>
      </x:c>
      <x:c r="Q36" s="68" t="str">
        <x:v>Enterprise localization workflows and Saqeel’s versioned string history.</x:v>
      </x:c>
      <x:c r="R36" s="68" t="str">
        <x:v>No generic translation SaaS clone or spreadsheet grid without screen context.</x:v>
      </x:c>
      <x:c r="S36" s="68" t="str">
        <x:v>Search; module/screen filter; EN source; AR edit; status; context screenshot link; placeholders; history; restore; CSV export; approve.</x:v>
      </x:c>
      <x:c r="T36" s="68" t="str">
        <x:v>Draft; needs review; approved; source drift; missing; placeholder error; restored.</x:v>
      </x:c>
      <x:c r="U36" s="69" t="n">
        <x:v>4</x:v>
      </x:c>
      <x:c r="V36" s="69" t="n">
        <x:v>5</x:v>
      </x:c>
      <x:c r="W36" s="68" t="str">
        <x:v>QUEUED AFTER WEB WAVE</x:v>
      </x:c>
      <x:c r="X36" s="68" t="str">
        <x:v>DEFERRED</x:v>
      </x:c>
      <x:c r="Y36" s="68" t="str">
        <x:v>V2 universal research + three composition hypotheses</x:v>
      </x:c>
      <x:c r="Z36" s="68" t="str">
        <x:v>DESIGN_APPROVED → WIRING_AUDIT → IMPLEMENTATION_AUTHORIZED → VERTICAL_SLICE_PASS</x:v>
      </x:c>
      <x:c r="AA36" s="73" t="str">
        <x:v>Shared Admin control-plane shell V1</x:v>
      </x:c>
      <x:c r="AB36" s="73" t="str">
        <x:v>Administration · server-role-scoped group; no CRUD-only or unsupported placeholder tab.</x:v>
      </x:c>
      <x:c r="AC36" s="73" t="str">
        <x:v>Sponsor-accepted shared shell frozen; this control-plane screen still requires its own design and wiring gate</x:v>
      </x:c>
    </x:row>
    <x:row r="37" ht="96" customHeight="1">
      <x:c r="A37" s="74" t="n">
        <x:v>32</x:v>
      </x:c>
      <x:c r="B37" s="74" t="str">
        <x:v>Supplemental</x:v>
      </x:c>
      <x:c r="C37" s="74" t="str">
        <x:v>CD-019</x:v>
      </x:c>
      <x:c r="D37" s="74" t="str">
        <x:v>ADM-AUDIT</x:v>
      </x:c>
      <x:c r="E37" s="74" t="str">
        <x:v>Admin</x:v>
      </x:c>
      <x:c r="F37" s="74" t="str">
        <x:v>Audit trail browser</x:v>
      </x:c>
      <x:c r="G37" s="74" t="str">
        <x:v>/admin/audit</x:v>
      </x:c>
      <x:c r="H37" s="74" t="str">
        <x:v>Auditor; Security Admin</x:v>
      </x:c>
      <x:c r="I37" s="74" t="str">
        <x:v>Cross-cutting</x:v>
      </x:c>
      <x:c r="J37" s="74" t="str">
        <x:v>ENG-12</x:v>
      </x:c>
      <x:c r="K37" s="74" t="str">
        <x:v>apps/web/src/app/admin/audit</x:v>
      </x:c>
      <x:c r="L37" s="74" t="str">
        <x:v>Reconstruct who changed what, when, why and under which version.</x:v>
      </x:c>
      <x:c r="M37" s="74" t="str">
        <x:v>Audit evidence must support investigation and replay across configuration and runtime.</x:v>
      </x:c>
      <x:c r="N37" s="74" t="str">
        <x:v>Switch between event stream, object timeline and before/after diff without losing the same audit identity.</x:v>
      </x:c>
      <x:c r="O37" s="74" t="str">
        <x:v>High-volume events, sensitive payloads, missing external delivery confirmation and cross-object correlation.</x:v>
      </x:c>
      <x:c r="P37" s="74" t="str">
        <x:v>R01, R02, R11, R12</x:v>
      </x:c>
      <x:c r="Q37" s="74" t="str">
        <x:v>Enterprise event-table behavior plus object-page timeline and immutable traceability.</x:v>
      </x:c>
      <x:c r="R37" s="74" t="str">
        <x:v>No developer console aesthetic or editable log rows.</x:v>
      </x:c>
      <x:c r="S37" s="74" t="str">
        <x:v>Search; actor/object/action/date filters; correlation ID; event stream; before/after; version; source requirement; export; integrity cue.</x:v>
      </x:c>
      <x:c r="T37" s="74" t="str">
        <x:v>No events; loading; filtered empty; sensitive redaction; partial payload; service degraded.</x:v>
      </x:c>
      <x:c r="U37" s="75" t="n">
        <x:v>4</x:v>
      </x:c>
      <x:c r="V37" s="75" t="n">
        <x:v>5</x:v>
      </x:c>
      <x:c r="W37" s="74" t="str">
        <x:v>QUEUED AFTER WEB WAVE</x:v>
      </x:c>
      <x:c r="X37" s="74" t="str">
        <x:v>DEFERRED</x:v>
      </x:c>
      <x:c r="Y37" s="74" t="str">
        <x:v>V2 universal research + three composition hypotheses</x:v>
      </x:c>
      <x:c r="Z37" s="74" t="str">
        <x:v>DESIGN_APPROVED → WIRING_AUDIT → IMPLEMENTATION_AUTHORIZED → VERTICAL_SLICE_PASS</x:v>
      </x:c>
      <x:c r="AA37" s="79" t="str">
        <x:v>Shared Admin control-plane shell V1</x:v>
      </x:c>
      <x:c r="AB37" s="79" t="str">
        <x:v>Administration · server-role-scoped group; no CRUD-only or unsupported placeholder tab.</x:v>
      </x:c>
      <x:c r="AC37" s="79" t="str">
        <x:v>Sponsor-accepted shared shell frozen; this control-plane screen still requires its own design and wiring gate</x:v>
      </x:c>
    </x:row>
    <x:row r="38" ht="96" customHeight="1">
      <x:c r="A38" s="68" t="n">
        <x:v>33</x:v>
      </x:c>
      <x:c r="B38" s="68" t="str">
        <x:v>Yes</x:v>
      </x:c>
      <x:c r="C38" s="68" t="str">
        <x:v>CD-033</x:v>
      </x:c>
      <x:c r="D38" s="68" t="str">
        <x:v>SCR-IPAD-600</x:v>
      </x:c>
      <x:c r="E38" s="68" t="str">
        <x:v>iPad</x:v>
      </x:c>
      <x:c r="F38" s="68" t="str">
        <x:v>Assigned visits — Today</x:v>
      </x:c>
      <x:c r="G38" s="68" t="str">
        <x:v>/field</x:v>
      </x:c>
      <x:c r="H38" s="68" t="str">
        <x:v>Inspector</x:v>
      </x:c>
      <x:c r="I38" s="68" t="str">
        <x:v>P04</x:v>
      </x:c>
      <x:c r="J38" s="68" t="str">
        <x:v>ENG-02, ENG-06, ENG-10, ENG-11, ENG-12</x:v>
      </x:c>
      <x:c r="K38" s="68" t="str">
        <x:v>apps/web/src/app/field/page.tsx; apps/web/src/components/field/FieldHome.tsx</x:v>
      </x:c>
      <x:c r="L38" s="68" t="str">
        <x:v>Know what to do today, what is ready, what is returned and what is unsafe to start.</x:v>
      </x:c>
      <x:c r="M38" s="68" t="str">
        <x:v>Inspectors under field conditions need an action queue, not a desktop dashboard shrunk onto iPad.</x:v>
      </x:c>
      <x:c r="N38" s="68" t="str">
        <x:v>Every visit card combines operational timing, factory context, offline readiness and one next safe action.</x:v>
      </x:c>
      <x:c r="O38" s="68" t="str">
        <x:v>Expired assignment, returned work, no sync, low storage and last-minute cancellation.</x:v>
      </x:c>
      <x:c r="P38" s="68" t="str">
        <x:v>R01, R02, R03, R05, R13</x:v>
      </x:c>
      <x:c r="Q38" s="68" t="str">
        <x:v>Field-service mobile task guidance, SafetyCulture scheduled work and adaptable iPad navigation.</x:v>
      </x:c>
      <x:c r="R38" s="68" t="str">
        <x:v>No web sidebar, desktop KPI dashboard or consumer calendar aesthetic.</x:v>
      </x:c>
      <x:c r="S38" s="68" t="str">
        <x:v>Today header; next visit; assignment cards; list/calendar/map; search/filter; offline badge; inbox; returned work; bottom tabs; sync center.</x:v>
      </x:c>
      <x:c r="T38" s="68" t="str">
        <x:v>Assigned; preparing; returned; expired; offline; sync failed; no assignments; cancelled.</x:v>
      </x:c>
      <x:c r="U38" s="69" t="n">
        <x:v>5</x:v>
      </x:c>
      <x:c r="V38" s="69" t="n">
        <x:v>5</x:v>
      </x:c>
      <x:c r="W38" s="68" t="str">
        <x:v>QUEUED AFTER WEB WAVE</x:v>
      </x:c>
      <x:c r="X38" s="68" t="str">
        <x:v>DEFERRED</x:v>
      </x:c>
      <x:c r="Y38" s="68" t="str">
        <x:v>V2 universal research + three composition hypotheses</x:v>
      </x:c>
      <x:c r="Z38" s="68" t="str">
        <x:v>DESIGN_APPROVED → WIRING_AUDIT → IMPLEMENTATION_AUTHORIZED → VERTICAL_SLICE_PASS</x:v>
      </x:c>
      <x:c r="AA38" s="73" t="str">
        <x:v>Dedicated iPad field shell</x:v>
      </x:c>
      <x:c r="AB38" s="73" t="str">
        <x:v>Keep field tabs, sync truth and touch-first hierarchy; do not import the desktop sidebar.</x:v>
      </x:c>
      <x:c r="AC38" s="73" t="str">
        <x:v>Dedicated field channel boundary preserved; sponsor-accepted desktop shell must not be imported</x:v>
      </x:c>
    </x:row>
    <x:row r="39" ht="96" customHeight="1">
      <x:c r="A39" s="74" t="n">
        <x:v>34</x:v>
      </x:c>
      <x:c r="B39" s="74" t="str">
        <x:v>Yes</x:v>
      </x:c>
      <x:c r="C39" s="74" t="str">
        <x:v>CD-034</x:v>
      </x:c>
      <x:c r="D39" s="74" t="str">
        <x:v>SCR-IPAD-610</x:v>
      </x:c>
      <x:c r="E39" s="74" t="str">
        <x:v>iPad</x:v>
      </x:c>
      <x:c r="F39" s="74" t="str">
        <x:v>Inspector startup pack</x:v>
      </x:c>
      <x:c r="G39" s="74" t="str">
        <x:v>/field/:visitId</x:v>
      </x:c>
      <x:c r="H39" s="74" t="str">
        <x:v>Inspector</x:v>
      </x:c>
      <x:c r="I39" s="74" t="str">
        <x:v>P04/P05</x:v>
      </x:c>
      <x:c r="J39" s="74" t="str">
        <x:v>ENG-02, ENG-03, ENG-06, ENG-10, ENG-12</x:v>
      </x:c>
      <x:c r="K39" s="74" t="str">
        <x:v>apps/web/src/app/field/[visitId]</x:v>
      </x:c>
      <x:c r="L39" s="74" t="str">
        <x:v>Prepare the visit and prove package, device, route and offline readiness before departure.</x:v>
      </x:c>
      <x:c r="M39" s="74" t="str">
        <x:v>A green ‘ready’ badge without actual checks is unsafe. The inspector must know what is missing and why it matters.</x:v>
      </x:c>
      <x:c r="N39" s="74" t="str">
        <x:v>Airplane-mode proof panel verifies package, maps, forms, evidence capacity and sync queue before travel.</x:v>
      </x:c>
      <x:c r="O39" s="74" t="str">
        <x:v>Corrupt package, low storage, weak GPS, wrong mode, stale map and incomplete factory context.</x:v>
      </x:c>
      <x:c r="P39" s="74" t="str">
        <x:v>R01, R02, R05, R07, R08, R13</x:v>
      </x:c>
      <x:c r="Q39" s="74" t="str">
        <x:v>Dynamics mobile offline and ArcGIS offline-area preparation, adapted to inspection package integrity.</x:v>
      </x:c>
      <x:c r="R39" s="74" t="str">
        <x:v>No device-settings checklist or superficial progress ring.</x:v>
      </x:c>
      <x:c r="S39" s="74" t="str">
        <x:v>Visit summary; Factory 360 snapshot; package manifest; documents; route; device diagnostics; storage; offline map coverage; readiness checklist; download/retry; return assignment.</x:v>
      </x:c>
      <x:c r="T39" s="74" t="str">
        <x:v>Not downloaded; downloading; ready; corrupt; low storage; GPS weak; offline; wrong mode; returned.</x:v>
      </x:c>
      <x:c r="U39" s="75" t="n">
        <x:v>5</x:v>
      </x:c>
      <x:c r="V39" s="75" t="n">
        <x:v>5</x:v>
      </x:c>
      <x:c r="W39" s="74" t="str">
        <x:v>QUEUED AFTER WEB WAVE</x:v>
      </x:c>
      <x:c r="X39" s="74" t="str">
        <x:v>DEFERRED</x:v>
      </x:c>
      <x:c r="Y39" s="74" t="str">
        <x:v>V2 universal research + three composition hypotheses</x:v>
      </x:c>
      <x:c r="Z39" s="74" t="str">
        <x:v>DESIGN_APPROVED → WIRING_AUDIT → IMPLEMENTATION_AUTHORIZED → VERTICAL_SLICE_PASS</x:v>
      </x:c>
      <x:c r="AA39" s="79" t="str">
        <x:v>Dedicated iPad field shell</x:v>
      </x:c>
      <x:c r="AB39" s="79" t="str">
        <x:v>Keep field tabs, sync truth and touch-first hierarchy; do not import the desktop sidebar.</x:v>
      </x:c>
      <x:c r="AC39" s="79" t="str">
        <x:v>Dedicated field channel boundary preserved; sponsor-accepted desktop shell must not be imported</x:v>
      </x:c>
    </x:row>
    <x:row r="40" ht="96" customHeight="1">
      <x:c r="A40" s="68" t="n">
        <x:v>35</x:v>
      </x:c>
      <x:c r="B40" s="68" t="str">
        <x:v>Yes</x:v>
      </x:c>
      <x:c r="C40" s="68" t="str">
        <x:v>CD-035</x:v>
      </x:c>
      <x:c r="D40" s="68" t="str">
        <x:v>SCR-IPAD-620</x:v>
      </x:c>
      <x:c r="E40" s="68" t="str">
        <x:v>iPad</x:v>
      </x:c>
      <x:c r="F40" s="68" t="str">
        <x:v>Journey and geofence check-in</x:v>
      </x:c>
      <x:c r="G40" s="68" t="str">
        <x:v>/field/:visitId (journey mode)</x:v>
      </x:c>
      <x:c r="H40" s="68" t="str">
        <x:v>Inspector</x:v>
      </x:c>
      <x:c r="I40" s="68" t="str">
        <x:v>P06A</x:v>
      </x:c>
      <x:c r="J40" s="68" t="str">
        <x:v>ENG-03, ENG-06, ENG-10, ENG-11, ENG-12</x:v>
      </x:c>
      <x:c r="K40" s="68" t="str">
        <x:v>apps/web/src/app/field/[visitId]/Startup.tsx</x:v>
      </x:c>
      <x:c r="L40" s="68" t="str">
        <x:v>Travel, understand route/ETA, prove arrival and check in or request a governed exception.</x:v>
      </x:c>
      <x:c r="M40" s="68" t="str">
        <x:v>Field users cannot interpret raw GPS accuracy, distance and boundary data while moving.</x:v>
      </x:c>
      <x:c r="N40" s="68" t="str">
        <x:v>Check-in proof combines boundary, distance, GPS accuracy, timestamp, device and exception path in one audit-ready card.</x:v>
      </x:c>
      <x:c r="O40" s="68" t="str">
        <x:v>No GPS, weak accuracy, outside geofence, route deviation, offline maps and wrong official location.</x:v>
      </x:c>
      <x:c r="P40" s="68" t="str">
        <x:v>R01, R02, R05, R07, R08, R13</x:v>
      </x:c>
      <x:c r="Q40" s="68" t="str">
        <x:v>ArcGIS geofence/offline patterns and field-service travel status, grounded in DEC-002.</x:v>
      </x:c>
      <x:c r="R40" s="68" t="str">
        <x:v>No ride-hailing map clone or automatic check-in without proof.</x:v>
      </x:c>
      <x:c r="S40" s="68" t="str">
        <x:v>Route map; ETA/distance; privacy/freshness; GPS accuracy; start journey; arrival; geofence ring; check-in proof; retry; override request; offline indicator.</x:v>
      </x:c>
      <x:c r="T40" s="68" t="str">
        <x:v>Not started; on journey; arrived; inside; outside; weak GPS; offline; deviation; override pending/approved/denied.</x:v>
      </x:c>
      <x:c r="U40" s="69" t="n">
        <x:v>5</x:v>
      </x:c>
      <x:c r="V40" s="69" t="n">
        <x:v>5</x:v>
      </x:c>
      <x:c r="W40" s="68" t="str">
        <x:v>QUEUED AFTER WEB WAVE</x:v>
      </x:c>
      <x:c r="X40" s="68" t="str">
        <x:v>DEFERRED</x:v>
      </x:c>
      <x:c r="Y40" s="68" t="str">
        <x:v>V2 universal research + three composition hypotheses</x:v>
      </x:c>
      <x:c r="Z40" s="68" t="str">
        <x:v>DESIGN_APPROVED → WIRING_AUDIT → IMPLEMENTATION_AUTHORIZED → VERTICAL_SLICE_PASS</x:v>
      </x:c>
      <x:c r="AA40" s="73" t="str">
        <x:v>Dedicated iPad field shell</x:v>
      </x:c>
      <x:c r="AB40" s="73" t="str">
        <x:v>Keep field tabs, sync truth and touch-first hierarchy; do not import the desktop sidebar.</x:v>
      </x:c>
      <x:c r="AC40" s="73" t="str">
        <x:v>Dedicated field channel boundary preserved; sponsor-accepted desktop shell must not be imported</x:v>
      </x:c>
    </x:row>
    <x:row r="41" ht="96" customHeight="1">
      <x:c r="A41" s="74" t="n">
        <x:v>36</x:v>
      </x:c>
      <x:c r="B41" s="74" t="str">
        <x:v>Yes</x:v>
      </x:c>
      <x:c r="C41" s="74" t="str">
        <x:v>CD-036</x:v>
      </x:c>
      <x:c r="D41" s="74" t="str">
        <x:v>SCR-IPAD-630</x:v>
      </x:c>
      <x:c r="E41" s="74" t="str">
        <x:v>iPad</x:v>
      </x:c>
      <x:c r="F41" s="74" t="str">
        <x:v>Inspection workspace</x:v>
      </x:c>
      <x:c r="G41" s="74" t="str">
        <x:v>/field/inspection/:id</x:v>
      </x:c>
      <x:c r="H41" s="74" t="str">
        <x:v>Inspector</x:v>
      </x:c>
      <x:c r="I41" s="74" t="str">
        <x:v>P07</x:v>
      </x:c>
      <x:c r="J41" s="74" t="str">
        <x:v>ENG-01, ENG-02, ENG-03, ENG-07, ENG-10, ENG-12</x:v>
      </x:c>
      <x:c r="K41" s="74" t="str">
        <x:v>apps/web/src/app/field/inspection/[id]</x:v>
      </x:c>
      <x:c r="L41" s="74" t="str">
        <x:v>Complete a dynamic inspection accurately through interruptions, offline periods and conditional logic.</x:v>
      </x:c>
      <x:c r="M41" s="74" t="str">
        <x:v>Long forms fail in the field when navigation, conditional behavior and save status are hidden.</x:v>
      </x:c>
      <x:c r="N41" s="74" t="str">
        <x:v>‘Regulatory context on demand’ reveals clause, guidance, evidence rule and downstream consequence without cluttering routine answering.</x:v>
      </x:c>
      <x:c r="O41" s="74" t="str">
        <x:v>Conditional-rule error, interruption/restart, offline autosave, hidden mandatory item and returned-section mode.</x:v>
      </x:c>
      <x:c r="P41" s="74" t="str">
        <x:v>R01, R02, R03, R05, R07, R13</x:v>
      </x:c>
      <x:c r="Q41" s="74" t="str">
        <x:v>SafetyCulture guided inspections, Field Maps smart forms and iPad split-view ergonomics.</x:v>
      </x:c>
      <x:c r="R41" s="74" t="str">
        <x:v>No survey app, spreadsheet form or desktop wizard.</x:v>
      </x:c>
      <x:c r="S41" s="74" t="str">
        <x:v>Section navigator; progress; question card; response controls; notes; evidence shortcut; rule/guidance drawer; autosave; sync status; blockers; next/previous.</x:v>
      </x:c>
      <x:c r="T41" s="74" t="str">
        <x:v>Online; offline; queued; syncing; conflict; validation error; conditional reveal; read-only submitted; returned editable.</x:v>
      </x:c>
      <x:c r="U41" s="75" t="n">
        <x:v>5</x:v>
      </x:c>
      <x:c r="V41" s="75" t="n">
        <x:v>5</x:v>
      </x:c>
      <x:c r="W41" s="74" t="str">
        <x:v>QUEUED AFTER WEB WAVE</x:v>
      </x:c>
      <x:c r="X41" s="74" t="str">
        <x:v>DEFERRED</x:v>
      </x:c>
      <x:c r="Y41" s="74" t="str">
        <x:v>V2 universal research + three composition hypotheses</x:v>
      </x:c>
      <x:c r="Z41" s="74" t="str">
        <x:v>DESIGN_APPROVED → WIRING_AUDIT → IMPLEMENTATION_AUTHORIZED → VERTICAL_SLICE_PASS</x:v>
      </x:c>
      <x:c r="AA41" s="79" t="str">
        <x:v>Dedicated iPad field shell</x:v>
      </x:c>
      <x:c r="AB41" s="79" t="str">
        <x:v>Keep field tabs, sync truth and touch-first hierarchy; do not import the desktop sidebar.</x:v>
      </x:c>
      <x:c r="AC41" s="79" t="str">
        <x:v>Dedicated field channel boundary preserved; sponsor-accepted desktop shell must not be imported</x:v>
      </x:c>
    </x:row>
    <x:row r="42" ht="96" customHeight="1">
      <x:c r="A42" s="68" t="n">
        <x:v>37</x:v>
      </x:c>
      <x:c r="B42" s="68" t="str">
        <x:v>Yes</x:v>
      </x:c>
      <x:c r="C42" s="68" t="str">
        <x:v>CD-037</x:v>
      </x:c>
      <x:c r="D42" s="68" t="str">
        <x:v>SCR-IPAD-640</x:v>
      </x:c>
      <x:c r="E42" s="68" t="str">
        <x:v>iPad</x:v>
      </x:c>
      <x:c r="F42" s="68" t="str">
        <x:v>Evidence capture and chain of custody</x:v>
      </x:c>
      <x:c r="G42" s="68" t="str">
        <x:v>/field/inspection/:id (evidence mode)</x:v>
      </x:c>
      <x:c r="H42" s="68" t="str">
        <x:v>Inspector</x:v>
      </x:c>
      <x:c r="I42" s="68" t="str">
        <x:v>P08</x:v>
      </x:c>
      <x:c r="J42" s="68" t="str">
        <x:v>ENG-07, ENG-10, ENG-12</x:v>
      </x:c>
      <x:c r="K42" s="68" t="str">
        <x:v>apps/web/src/app/field/inspection/[id]/Workspace.tsx; apps/web/src/components/ImageAnnotator.tsx</x:v>
      </x:c>
      <x:c r="L42" s="68" t="str">
        <x:v>Capture valid evidence, link it correctly and know whether it is local, queued, synced or failed.</x:v>
      </x:c>
      <x:c r="M42" s="68" t="str">
        <x:v>A generic uploader hides provenance, linkage, quality, compression and sync risk.</x:v>
      </x:c>
      <x:c r="N42" s="68" t="str">
        <x:v>Evidence receipt follows each item from capture through annotation, hash, geotag, link target and server acknowledgement.</x:v>
      </x:c>
      <x:c r="O42" s="68" t="str">
        <x:v>Permission denied, oversized media, corrupt file, indoor no-GPS, annotation, deletion before submit and retry after timeout.</x:v>
      </x:c>
      <x:c r="P42" s="68" t="str">
        <x:v>R01, R02, R03, R04, R07, R08, R13</x:v>
      </x:c>
      <x:c r="Q42" s="68" t="str">
        <x:v>SafetyCulture evidence/action continuity and Field Maps attachment/offline metadata.</x:v>
      </x:c>
      <x:c r="R42" s="68" t="str">
        <x:v>No social-media gallery or cloud-drive uploader.</x:v>
      </x:c>
      <x:c r="S42" s="68" t="str">
        <x:v>Camera/gallery/video/document/voice; target link; metadata; quality; annotation; thumbnail; lifecycle status; retry; draft delete; manifest.</x:v>
      </x:c>
      <x:c r="T42" s="68" t="str">
        <x:v>Permission denied; captured local; compressing; queued; syncing; synced; failed; conflicted; unsupported/oversize; submitted locked.</x:v>
      </x:c>
      <x:c r="U42" s="69" t="n">
        <x:v>5</x:v>
      </x:c>
      <x:c r="V42" s="69" t="n">
        <x:v>5</x:v>
      </x:c>
      <x:c r="W42" s="68" t="str">
        <x:v>QUEUED AFTER WEB WAVE</x:v>
      </x:c>
      <x:c r="X42" s="68" t="str">
        <x:v>DEFERRED</x:v>
      </x:c>
      <x:c r="Y42" s="68" t="str">
        <x:v>V2 universal research + three composition hypotheses</x:v>
      </x:c>
      <x:c r="Z42" s="68" t="str">
        <x:v>DESIGN_APPROVED → WIRING_AUDIT → IMPLEMENTATION_AUTHORIZED → VERTICAL_SLICE_PASS</x:v>
      </x:c>
      <x:c r="AA42" s="73" t="str">
        <x:v>Dedicated iPad field shell</x:v>
      </x:c>
      <x:c r="AB42" s="73" t="str">
        <x:v>Keep field tabs, sync truth and touch-first hierarchy; do not import the desktop sidebar.</x:v>
      </x:c>
      <x:c r="AC42" s="73" t="str">
        <x:v>Dedicated field channel boundary preserved; sponsor-accepted desktop shell must not be imported</x:v>
      </x:c>
    </x:row>
    <x:row r="43" ht="96" customHeight="1">
      <x:c r="A43" s="74" t="n">
        <x:v>38</x:v>
      </x:c>
      <x:c r="B43" s="74" t="str">
        <x:v>Yes</x:v>
      </x:c>
      <x:c r="C43" s="74" t="str">
        <x:v>CD-038</x:v>
      </x:c>
      <x:c r="D43" s="74" t="str">
        <x:v>SCR-IPAD-650</x:v>
      </x:c>
      <x:c r="E43" s="74" t="str">
        <x:v>iPad</x:v>
      </x:c>
      <x:c r="F43" s="74" t="str">
        <x:v>Findings, violations and actions</x:v>
      </x:c>
      <x:c r="G43" s="74" t="str">
        <x:v>/field/inspection/:id (findings mode)</x:v>
      </x:c>
      <x:c r="H43" s="74" t="str">
        <x:v>Inspector</x:v>
      </x:c>
      <x:c r="I43" s="74" t="str">
        <x:v>P08</x:v>
      </x:c>
      <x:c r="J43" s="74" t="str">
        <x:v>ENG-01, ENG-02, ENG-07, ENG-08, ENG-12</x:v>
      </x:c>
      <x:c r="K43" s="74" t="str">
        <x:v>apps/web/src/app/field/inspection/[id]/Workspace.tsx</x:v>
      </x:c>
      <x:c r="L43" s="74" t="str">
        <x:v>Record an observation and understand the configured violation, penalty context and corrective action it produces.</x:v>
      </x:c>
      <x:c r="M43" s="74" t="str">
        <x:v>Inspectors must not manually invent violations or penalties, yet they need context to capture sufficient evidence.</x:v>
      </x:c>
      <x:c r="N43" s="74" t="str">
        <x:v>Trace ribbon links observation → clause → evidence → configured violation → penalty context → action form.</x:v>
      </x:c>
      <x:c r="O43" s="74" t="str">
        <x:v>Rule unavailable, missing evidence, multiple violations, incomplete action form and no applicable penalty.</x:v>
      </x:c>
      <x:c r="P43" s="74" t="str">
        <x:v>R01, R02, R03, R04, R11</x:v>
      </x:c>
      <x:c r="Q43" s="74" t="str">
        <x:v>SafetyCulture issue-to-action flow combined with Saqeel’s regulation/violation traceability.</x:v>
      </x:c>
      <x:c r="R43" s="74" t="str">
        <x:v>No free-form incident report or editable penalty selector.</x:v>
      </x:c>
      <x:c r="S43" s="74" t="str">
        <x:v>Finding form; severity; clause; linked response/evidence; generated violation; penalty context read-only; action owner/due/correction; completion validation.</x:v>
      </x:c>
      <x:c r="T43" s="74" t="str">
        <x:v>Draft; missing evidence; rule unavailable; generated; action incomplete; completed; submitted locked.</x:v>
      </x:c>
      <x:c r="U43" s="75" t="n">
        <x:v>4</x:v>
      </x:c>
      <x:c r="V43" s="75" t="n">
        <x:v>5</x:v>
      </x:c>
      <x:c r="W43" s="74" t="str">
        <x:v>QUEUED AFTER WEB WAVE</x:v>
      </x:c>
      <x:c r="X43" s="74" t="str">
        <x:v>DEFERRED</x:v>
      </x:c>
      <x:c r="Y43" s="74" t="str">
        <x:v>V2 universal research + three composition hypotheses</x:v>
      </x:c>
      <x:c r="Z43" s="74" t="str">
        <x:v>DESIGN_APPROVED → WIRING_AUDIT → IMPLEMENTATION_AUTHORIZED → VERTICAL_SLICE_PASS</x:v>
      </x:c>
      <x:c r="AA43" s="79" t="str">
        <x:v>Constrained virtual-session shell</x:v>
      </x:c>
      <x:c r="AB43" s="79" t="str">
        <x:v>Factory representatives receive session-only navigation; never expose internal Web/Admin destinations.</x:v>
      </x:c>
      <x:c r="AC43" s="79" t="str">
        <x:v>Dedicated virtual-session boundary preserved; sponsor-accepted internal shell remains unavailable</x:v>
      </x:c>
    </x:row>
    <x:row r="44" ht="96" customHeight="1">
      <x:c r="A44" s="68" t="n">
        <x:v>39</x:v>
      </x:c>
      <x:c r="B44" s="68" t="str">
        <x:v>Yes</x:v>
      </x:c>
      <x:c r="C44" s="68" t="str">
        <x:v>CD-039</x:v>
      </x:c>
      <x:c r="D44" s="68" t="str">
        <x:v>SCR-IPAD-660</x:v>
      </x:c>
      <x:c r="E44" s="68" t="str">
        <x:v>iPad</x:v>
      </x:c>
      <x:c r="F44" s="68" t="str">
        <x:v>Pre-submit validation and immutable submission</x:v>
      </x:c>
      <x:c r="G44" s="68" t="str">
        <x:v>/field/inspection/:id (submit mode)</x:v>
      </x:c>
      <x:c r="H44" s="68" t="str">
        <x:v>Inspector</x:v>
      </x:c>
      <x:c r="I44" s="68" t="str">
        <x:v>P09</x:v>
      </x:c>
      <x:c r="J44" s="68" t="str">
        <x:v>ENG-03, ENG-07, ENG-09, ENG-10, ENG-11, ENG-12</x:v>
      </x:c>
      <x:c r="K44" s="68" t="str">
        <x:v>apps/web/src/app/field/inspection/[id]/Workspace.tsx</x:v>
      </x:c>
      <x:c r="L44" s="68" t="str">
        <x:v>Resolve every blocker, understand what will lock and submit exactly once.</x:v>
      </x:c>
      <x:c r="M44" s="68" t="str">
        <x:v>A final button without a manifest encourages accidental incomplete or duplicate submissions.</x:v>
      </x:c>
      <x:c r="N44" s="68" t="str">
        <x:v>Immutable receipt previews version, package, evidence manifest, signatures, queued operations and downstream reviewer handoff.</x:v>
      </x:c>
      <x:c r="O44" s="68" t="str">
        <x:v>Mandatory blocker, offline submit queue, timeout retry, duplicate request and unresolved conflict.</x:v>
      </x:c>
      <x:c r="P44" s="68" t="str">
        <x:v>R01, R02, R03, R14</x:v>
      </x:c>
      <x:c r="Q44" s="68" t="str">
        <x:v>Inspection completion review and government-service validation summaries, backed by idempotent submission.</x:v>
      </x:c>
      <x:c r="R44" s="68" t="str">
        <x:v>No generic checkout summary or celebratory success screen.</x:v>
      </x:c>
      <x:c r="S44" s="68" t="str">
        <x:v>Completion summary; grouped blockers with deep links; evidence manifest; action/signature status; sync truth; immutable warning; submit; receipt; reviewer handoff.</x:v>
      </x:c>
      <x:c r="T44" s="68" t="str">
        <x:v>Blocked; ready; offline queued; submitting; timeout; retry existing result; success locked; partial failure prevented.</x:v>
      </x:c>
      <x:c r="U44" s="69" t="n">
        <x:v>5</x:v>
      </x:c>
      <x:c r="V44" s="69" t="n">
        <x:v>5</x:v>
      </x:c>
      <x:c r="W44" s="68" t="str">
        <x:v>QUEUED AFTER WEB WAVE</x:v>
      </x:c>
      <x:c r="X44" s="68" t="str">
        <x:v>DEFERRED</x:v>
      </x:c>
      <x:c r="Y44" s="68" t="str">
        <x:v>V2 universal research + three composition hypotheses</x:v>
      </x:c>
      <x:c r="Z44" s="68" t="str">
        <x:v>DESIGN_APPROVED → WIRING_AUDIT → IMPLEMENTATION_AUTHORIZED → VERTICAL_SLICE_PASS</x:v>
      </x:c>
      <x:c r="AA44" s="73" t="str">
        <x:v>Constrained virtual-session shell</x:v>
      </x:c>
      <x:c r="AB44" s="73" t="str">
        <x:v>Factory representatives receive session-only navigation; never expose internal Web/Admin destinations.</x:v>
      </x:c>
      <x:c r="AC44" s="73" t="str">
        <x:v>Dedicated virtual-session boundary preserved; sponsor-accepted internal shell remains unavailable</x:v>
      </x:c>
    </x:row>
    <x:row r="45" ht="96" customHeight="1">
      <x:c r="A45" s="74" t="n">
        <x:v>40</x:v>
      </x:c>
      <x:c r="B45" s="74" t="str">
        <x:v>Yes</x:v>
      </x:c>
      <x:c r="C45" s="74" t="str">
        <x:v>CD-040</x:v>
      </x:c>
      <x:c r="D45" s="74" t="str">
        <x:v>SCR-IPAD-670</x:v>
      </x:c>
      <x:c r="E45" s="74" t="str">
        <x:v>iPad</x:v>
      </x:c>
      <x:c r="F45" s="74" t="str">
        <x:v>Returned correction and resubmission</x:v>
      </x:c>
      <x:c r="G45" s="74" t="str">
        <x:v>/field/inspection/:id (returned mode)</x:v>
      </x:c>
      <x:c r="H45" s="74" t="str">
        <x:v>Inspector</x:v>
      </x:c>
      <x:c r="I45" s="74" t="str">
        <x:v>P11</x:v>
      </x:c>
      <x:c r="J45" s="74" t="str">
        <x:v>ENG-03, ENG-07, ENG-09, ENG-10, ENG-12</x:v>
      </x:c>
      <x:c r="K45" s="74" t="str">
        <x:v>apps/web/src/app/field/inspection/[id]/Workspace.tsx</x:v>
      </x:c>
      <x:c r="L45" s="74" t="str">
        <x:v>Understand the reviewer’s exact request, edit only unlocked sections and create version N+1.</x:v>
      </x:c>
      <x:c r="M45" s="74" t="str">
        <x:v>A generic reopened form risks unauthorized changes and hides the relationship between versions.</x:v>
      </x:c>
      <x:c r="N45" s="74" t="str">
        <x:v>Return-contract header shows reviewer comment, due context, unlocked sections and a live change ledger against the prior version.</x:v>
      </x:c>
      <x:c r="O45" s="74" t="str">
        <x:v>Attempted locked edit, evidence replacement, overdue correction and offline conflict.</x:v>
      </x:c>
      <x:c r="P45" s="74" t="str">
        <x:v>R01, R02, R03, R11, R12</x:v>
      </x:c>
      <x:c r="Q45" s="74" t="str">
        <x:v>Inspection correction workflows plus semantic version comparison.</x:v>
      </x:c>
      <x:c r="R45" s="74" t="str">
        <x:v>No full-form edit mode or ambiguous ‘reopen’ badge.</x:v>
      </x:c>
      <x:c r="S45" s="74" t="str">
        <x:v>Return summary; immutable comment; version lineage; unlocked section nav; locked cues; change ledger; evidence add; blockers; resubmit.</x:v>
      </x:c>
      <x:c r="T45" s="74" t="str">
        <x:v>Returned; correction in progress; locked attempt; offline; conflict; ready; resubmitting; version N+1 submitted.</x:v>
      </x:c>
      <x:c r="U45" s="75" t="n">
        <x:v>5</x:v>
      </x:c>
      <x:c r="V45" s="75" t="n">
        <x:v>5</x:v>
      </x:c>
      <x:c r="W45" s="74" t="str">
        <x:v>QUEUED AFTER WEB WAVE</x:v>
      </x:c>
      <x:c r="X45" s="74" t="str">
        <x:v>DEFERRED</x:v>
      </x:c>
      <x:c r="Y45" s="74" t="str">
        <x:v>V2 universal research + three composition hypotheses</x:v>
      </x:c>
      <x:c r="Z45" s="74" t="str">
        <x:v>DESIGN_APPROVED → WIRING_AUDIT → IMPLEMENTATION_AUTHORIZED → VERTICAL_SLICE_PASS</x:v>
      </x:c>
      <x:c r="AA45" s="79" t="str">
        <x:v>Constrained virtual-session shell</x:v>
      </x:c>
      <x:c r="AB45" s="79" t="str">
        <x:v>Factory representatives receive session-only navigation; never expose internal Web/Admin destinations.</x:v>
      </x:c>
      <x:c r="AC45" s="79" t="str">
        <x:v>Dedicated virtual-session boundary preserved; sponsor-accepted internal shell remains unavailable</x:v>
      </x:c>
    </x:row>
    <x:row r="46" ht="96" customHeight="1">
      <x:c r="A46" s="68" t="n">
        <x:v>41</x:v>
      </x:c>
      <x:c r="B46" s="68" t="str">
        <x:v>Yes</x:v>
      </x:c>
      <x:c r="C46" s="68" t="str">
        <x:v>CD-041</x:v>
      </x:c>
      <x:c r="D46" s="68" t="str">
        <x:v>SCR-VIR-700</x:v>
      </x:c>
      <x:c r="E46" s="68" t="str">
        <x:v>Virtual</x:v>
      </x:c>
      <x:c r="F46" s="68" t="str">
        <x:v>Virtual appointment and waiting room</x:v>
      </x:c>
      <x:c r="G46" s="68" t="str">
        <x:v>/virtual/:id</x:v>
      </x:c>
      <x:c r="H46" s="68" t="str">
        <x:v>Inspector; Factory Representative</x:v>
      </x:c>
      <x:c r="I46" s="68" t="str">
        <x:v>P06B</x:v>
      </x:c>
      <x:c r="J46" s="68" t="str">
        <x:v>ENG-03, ENG-07, ENG-11, ENG-12</x:v>
      </x:c>
      <x:c r="K46" s="68" t="str">
        <x:v>apps/web/src/app/virtual/[id]</x:v>
      </x:c>
      <x:c r="L46" s="68" t="str">
        <x:v>Join the correct appointment with prepared device, identity and participation context.</x:v>
      </x:c>
      <x:c r="M46" s="68" t="str">
        <x:v>Virtual inspection is a regulatory appointment, not a casual video meeting.</x:v>
      </x:c>
      <x:c r="N46" s="68" t="str">
        <x:v>Readiness contract shows identity, device, evidence expectations, participant role and fallback path before join.</x:v>
      </x:c>
      <x:c r="O46" s="68" t="str">
        <x:v>Wrong appointment, late participant, device failure, reschedule and video provider pending.</x:v>
      </x:c>
      <x:c r="P46" s="68" t="str">
        <x:v>R01, R02, R11, R14</x:v>
      </x:c>
      <x:c r="Q46" s="68" t="str">
        <x:v>Government-service appointment clarity and enterprise readiness patterns.</x:v>
      </x:c>
      <x:c r="R46" s="68" t="str">
        <x:v>No Zoom/Teams lobby clone or implied active video provider.</x:v>
      </x:c>
      <x:c r="S46" s="68" t="str">
        <x:v>Appointment; factory/visit; participants; instructions; device readiness; identity status; evidence preparation; join/admit; reschedule; provider truth.</x:v>
      </x:c>
      <x:c r="T46" s="68" t="str">
        <x:v>Early; ready; waiting; late; wrong appointment; device failure; provider pending; rescheduled.</x:v>
      </x:c>
      <x:c r="U46" s="69" t="n">
        <x:v>4</x:v>
      </x:c>
      <x:c r="V46" s="69" t="n">
        <x:v>5</x:v>
      </x:c>
      <x:c r="W46" s="68" t="str">
        <x:v>QUEUED AFTER WEB WAVE</x:v>
      </x:c>
      <x:c r="X46" s="68" t="str">
        <x:v>DEFERRED</x:v>
      </x:c>
      <x:c r="Y46" s="68" t="str">
        <x:v>V2 universal research + three composition hypotheses</x:v>
      </x:c>
      <x:c r="Z46" s="68" t="str">
        <x:v>DESIGN_APPROVED → WIRING_AUDIT → IMPLEMENTATION_AUTHORIZED → VERTICAL_SLICE_PASS</x:v>
      </x:c>
      <x:c r="AA46" s="73" t="str">
        <x:v>Constrained virtual-session shell</x:v>
      </x:c>
      <x:c r="AB46" s="73" t="str">
        <x:v>Factory representatives receive session-only navigation; never expose internal Web/Admin destinations.</x:v>
      </x:c>
      <x:c r="AC46" s="73" t="str">
        <x:v>Dedicated virtual-session boundary preserved; sponsor-accepted internal shell remains unavailable</x:v>
      </x:c>
    </x:row>
    <x:row r="47" ht="96" customHeight="1">
      <x:c r="A47" s="74" t="n">
        <x:v>42</x:v>
      </x:c>
      <x:c r="B47" s="74" t="str">
        <x:v>Yes</x:v>
      </x:c>
      <x:c r="C47" s="74" t="str">
        <x:v>CD-042</x:v>
      </x:c>
      <x:c r="D47" s="74" t="str">
        <x:v>SCR-VIR-710</x:v>
      </x:c>
      <x:c r="E47" s="74" t="str">
        <x:v>Virtual</x:v>
      </x:c>
      <x:c r="F47" s="74" t="str">
        <x:v>Identity and OTP verification</x:v>
      </x:c>
      <x:c r="G47" s="74" t="str">
        <x:v>/virtual/:id (verification mode)</x:v>
      </x:c>
      <x:c r="H47" s="74" t="str">
        <x:v>Factory Representative; Inspector; System</x:v>
      </x:c>
      <x:c r="I47" s="74" t="str">
        <x:v>P06B</x:v>
      </x:c>
      <x:c r="J47" s="74" t="str">
        <x:v>ENG-03, ENG-11, ENG-12</x:v>
      </x:c>
      <x:c r="K47" s="74" t="str">
        <x:v>apps/web/src/app/virtual/[id]/Room.tsx</x:v>
      </x:c>
      <x:c r="L47" s="74" t="str">
        <x:v>Verify participant identity or follow a governed failure/escalation path.</x:v>
      </x:c>
      <x:c r="M47" s="74" t="str">
        <x:v>OTP is a security gate; bypasses or vague failures undermine the entire remote inspection.</x:v>
      </x:c>
      <x:c r="N47" s="74" t="str">
        <x:v>Verification receipt connects participant, channel, attempt state, appointment and audit outcome while protecting sensitive data.</x:v>
      </x:c>
      <x:c r="O47" s="74" t="str">
        <x:v>Identity mismatch, wrong code, cooldown, exhausted attempts and provider unavailable.</x:v>
      </x:c>
      <x:c r="P47" s="74" t="str">
        <x:v>R01, R02, R14, R15</x:v>
      </x:c>
      <x:c r="Q47" s="74" t="str">
        <x:v>Government authentication clarity and NIST assurance, using accepted OTP configuration.</x:v>
      </x:c>
      <x:c r="R47" s="74" t="str">
        <x:v>No banking-app theatrics, fake success, or hidden lockout.</x:v>
      </x:c>
      <x:c r="S47" s="74" t="str">
        <x:v>Masked identity; role; OTP input; resend timer; attempts; channel; verify; mismatch; escalation/reschedule; audit receipt.</x:v>
      </x:c>
      <x:c r="T47" s="74" t="str">
        <x:v>Sent; entering; invalid; cooldown; resent; verified; exhausted; provider unavailable; escalated.</x:v>
      </x:c>
      <x:c r="U47" s="75" t="n">
        <x:v>4</x:v>
      </x:c>
      <x:c r="V47" s="75" t="n">
        <x:v>5</x:v>
      </x:c>
      <x:c r="W47" s="74" t="str">
        <x:v>QUEUED AFTER WEB WAVE</x:v>
      </x:c>
      <x:c r="X47" s="74" t="str">
        <x:v>DEFERRED</x:v>
      </x:c>
      <x:c r="Y47" s="74" t="str">
        <x:v>V2 universal research + three composition hypotheses</x:v>
      </x:c>
      <x:c r="Z47" s="74" t="str">
        <x:v>DESIGN_APPROVED → WIRING_AUDIT → IMPLEMENTATION_AUTHORIZED → VERTICAL_SLICE_PASS</x:v>
      </x:c>
      <x:c r="AA47" s="79" t="str">
        <x:v>Constrained virtual-session shell</x:v>
      </x:c>
      <x:c r="AB47" s="79" t="str">
        <x:v>Factory representatives receive session-only navigation; never expose internal Web/Admin destinations.</x:v>
      </x:c>
      <x:c r="AC47" s="79" t="str">
        <x:v>Dedicated virtual-session boundary preserved; sponsor-accepted internal shell remains unavailable</x:v>
      </x:c>
    </x:row>
    <x:row r="48" ht="96" customHeight="1">
      <x:c r="A48" s="68" t="n">
        <x:v>43</x:v>
      </x:c>
      <x:c r="B48" s="68" t="str">
        <x:v>Yes</x:v>
      </x:c>
      <x:c r="C48" s="68" t="str">
        <x:v>CD-043</x:v>
      </x:c>
      <x:c r="D48" s="68" t="str">
        <x:v>SCR-VIR-720</x:v>
      </x:c>
      <x:c r="E48" s="68" t="str">
        <x:v>Virtual</x:v>
      </x:c>
      <x:c r="F48" s="68" t="str">
        <x:v>Virtual inspection session</x:v>
      </x:c>
      <x:c r="G48" s="68" t="str">
        <x:v>/virtual/:id (session mode)</x:v>
      </x:c>
      <x:c r="H48" s="68" t="str">
        <x:v>Inspector; Factory Representative</x:v>
      </x:c>
      <x:c r="I48" s="68" t="str">
        <x:v>P06B/P07/P08</x:v>
      </x:c>
      <x:c r="J48" s="68" t="str">
        <x:v>ENG-01, ENG-02, ENG-03, ENG-07, ENG-11, ENG-12</x:v>
      </x:c>
      <x:c r="K48" s="68" t="str">
        <x:v>apps/web/src/app/virtual/[id]/Room.tsx</x:v>
      </x:c>
      <x:c r="L48" s="68" t="str">
        <x:v>Conduct a remote inspection, request views/evidence, complete the checklist and close or fall back safely.</x:v>
      </x:c>
      <x:c r="M48" s="68" t="str">
        <x:v>Video-call clones lose inspection structure; a regulatory session needs identity, evidence requests, notes, progress and fallback.</x:v>
      </x:c>
      <x:c r="N48" s="68" t="str">
        <x:v>Evidence request rail timestamps what the inspector asked to see, what was shown, what was captured and whether it was sufficient.</x:v>
      </x:c>
      <x:c r="O48" s="68" t="str">
        <x:v>Video provider pending, weak connection, participant drop, insufficient evidence and fallback to physical inspection.</x:v>
      </x:c>
      <x:c r="P48" s="68" t="str">
        <x:v>R01, R02, R03, R04, R11, R12</x:v>
      </x:c>
      <x:c r="Q48" s="68" t="str">
        <x:v>Inspection evidence/action flow and enterprise split-workspace behavior; no video-product imitation.</x:v>
      </x:c>
      <x:c r="R48" s="68" t="str">
        <x:v>No Teams/Zoom interface, fake call controls or claimed recording integration.</x:v>
      </x:c>
      <x:c r="S48" s="68" t="str">
        <x:v>Provider-status stage; participants; identity badges; connection quality; agenda/checklist; evidence request rail; notes; capture; session status; fallback/close.</x:v>
      </x:c>
      <x:c r="T48" s="68" t="str">
        <x:v>Provider pending; connecting; waiting; active future; degraded; participant dropped; insufficient evidence; fallback physical; closed.</x:v>
      </x:c>
      <x:c r="U48" s="69" t="n">
        <x:v>5</x:v>
      </x:c>
      <x:c r="V48" s="69" t="n">
        <x:v>4</x:v>
      </x:c>
      <x:c r="W48" s="68" t="str">
        <x:v>QUEUED AFTER WEB WAVE</x:v>
      </x:c>
      <x:c r="X48" s="68" t="str">
        <x:v>DEFERRED</x:v>
      </x:c>
      <x:c r="Y48" s="68" t="str">
        <x:v>V2 universal research + three composition hypotheses</x:v>
      </x:c>
      <x:c r="Z48" s="68" t="str">
        <x:v>DESIGN_APPROVED → WIRING_AUDIT → IMPLEMENTATION_AUTHORIZED → VERTICAL_SLICE_PASS</x:v>
      </x:c>
      <x:c r="AA48" s="73" t="str">
        <x:v>Report / receipt surface</x:v>
      </x:c>
      <x:c r="AB48" s="73" t="str">
        <x:v>Preserve immutable report provenance; do not invent a new global tab or expose internal navigation to external readers.</x:v>
      </x:c>
      <x:c r="AC48" s="73" t="str">
        <x:v>No new shell destination; immutable report provenance boundary preserved</x:v>
      </x:c>
    </x:row>
  </x:sheetData>
  <x:mergeCells>
    <x:mergeCell ref="A1:W2"/>
    <x:mergeCell ref="A3:W3"/>
  </x:mergeCells>
  <x:conditionalFormatting sqref="U6:U48">
    <x:cfRule type="cellIs" dxfId="0" priority="1" operator="equal">
      <x:formula>5</x:formula>
    </x:cfRule>
    <x:cfRule type="cellIs" dxfId="1" priority="2" operator="equal">
      <x:formula>4</x:formula>
    </x:cfRule>
    <x:cfRule type="cellIs" dxfId="2" priority="3" operator="lessThan">
      <x:formula>4</x:formula>
    </x:cfRule>
  </x:conditionalFormatting>
  <x:conditionalFormatting sqref="V6:V48">
    <x:cfRule type="cellIs" dxfId="3" priority="4" operator="equal">
      <x:formula>5</x:formula>
    </x:cfRule>
    <x:cfRule type="cellIs" dxfId="4" priority="5" operator="equal">
      <x:formula>4</x:formula>
    </x:cfRule>
    <x:cfRule type="cellIs" dxfId="5" priority="6" operator="lessThan">
      <x:formula>4</x:formula>
    </x:cfRule>
  </x:conditionalFormatting>
  <x:dataValidations count="1">
    <x:dataValidation type="list" sqref="W6:W48">
      <x:formula1>"READY FOR DESIGN TEAM REVIEW,APPROVED,CHANGES REQUESTED,REJECTED"</x:formula1>
    </x:dataValidation>
  </x:dataValidations>
  <x:pageMargins left="0.7" right="0.7" top="0.75" bottom="0.75" header="0.3" footer="0.3"/>
  <x:tableParts count="1">
    <x:tablePart xmlns:r="http://schemas.openxmlformats.org/officeDocument/2006/relationships" r:id="Rc7951331bc7748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1" hidden="0" customWidth="1"/>
    <x:col min="4" max="4" width="16" hidden="0" customWidth="1"/>
    <x:col min="5" max="5" width="16" hidden="0" customWidth="1"/>
    <x:col min="6" max="6" width="28" hidden="0" customWidth="1"/>
    <x:col min="7" max="7" width="25" hidden="0" customWidth="1"/>
    <x:col min="8" max="8" width="42" hidden="0" customWidth="1"/>
    <x:col min="9" max="9" width="12" hidden="0" customWidth="1"/>
    <x:col min="10" max="10" width="110" hidden="0" customWidth="1"/>
  </x:cols>
  <x:sheetData>
    <x:row r="1">
      <x:c r="A1" s="3" t="str">
        <x:v>Claude Design Paste-Ready Prompts</x:v>
      </x:c>
      <x:c r="B1" s="3"/>
      <x:c r="C1" s="3"/>
      <x:c r="D1" s="3"/>
      <x:c r="E1" s="3"/>
      <x:c r="F1" s="3"/>
      <x:c r="G1" s="3"/>
      <x:c r="H1" s="3"/>
      <x:c r="I1" s="3"/>
      <x:c r="J1" s="3"/>
    </x:row>
    <x:row r="2">
      <x:c r="A2" s="3"/>
      <x:c r="B2" s="3"/>
      <x:c r="C2" s="3"/>
      <x:c r="D2" s="3"/>
      <x:c r="E2" s="3"/>
      <x:c r="F2" s="3"/>
      <x:c r="G2" s="3"/>
      <x:c r="H2" s="3"/>
      <x:c r="I2" s="3"/>
      <x:c r="J2" s="3"/>
    </x:row>
    <x:row r="3">
      <x:c r="A3" s="20" t="str">
        <x:v>Use the master constitution once. TASK-WEB-SHELL-001 is sponsor-accepted and frozen for screen work. CD-001 is locked; CD-002 is sponsor-approved pending implementation verification. Submit CD-020–027, then CD-028–031. Every prompt includes the correct shell family and mandatory WIRING_MAP handoff.</x:v>
      </x:c>
      <x:c r="B3" s="20"/>
      <x:c r="C3" s="20"/>
      <x:c r="D3" s="20"/>
      <x:c r="E3" s="20"/>
      <x:c r="F3" s="20"/>
      <x:c r="G3" s="20"/>
      <x:c r="H3" s="20"/>
      <x:c r="I3" s="20"/>
      <x:c r="J3" s="20"/>
    </x:row>
    <x:row r="5" ht="34.5" customHeight="1">
      <x:c r="A5" s="67" t="str">
        <x:v>Sequence</x:v>
      </x:c>
      <x:c r="B5" s="67" t="str">
        <x:v>Batch</x:v>
      </x:c>
      <x:c r="C5" s="67" t="str">
        <x:v>Prompt ID</x:v>
      </x:c>
      <x:c r="D5" s="67" t="str">
        <x:v>Screen ID</x:v>
      </x:c>
      <x:c r="E5" s="67" t="str">
        <x:v>Channel</x:v>
      </x:c>
      <x:c r="F5" s="67" t="str">
        <x:v>Screen</x:v>
      </x:c>
      <x:c r="G5" s="67" t="str">
        <x:v>Route</x:v>
      </x:c>
      <x:c r="H5" s="67" t="str">
        <x:v>Code path</x:v>
      </x:c>
      <x:c r="I5" s="67" t="str">
        <x:v>Risk</x:v>
      </x:c>
      <x:c r="J5" s="67" t="str">
        <x:v>Full prompt</x:v>
      </x:c>
    </x:row>
    <x:row r="6" ht="210" customHeight="1">
      <x:c r="A6" s="12" t="n">
        <x:v>1</x:v>
      </x:c>
      <x:c r="B6" s="12" t="str">
        <x:v>B1 — Access baseline</x:v>
      </x:c>
      <x:c r="C6" s="12" t="str">
        <x:v>CD-001</x:v>
      </x:c>
      <x:c r="D6" s="12" t="str">
        <x:v>AUTH-01</x:v>
      </x:c>
      <x:c r="E6" s="12" t="str">
        <x:v>Authentication</x:v>
      </x:c>
      <x:c r="F6" s="12" t="str">
        <x:v>Unified sign-in — the inspection story</x:v>
      </x:c>
      <x:c r="G6" s="12" t="str">
        <x:v>/login</x:v>
      </x:c>
      <x:c r="H6" s="12" t="str">
        <x:v>apps/web/src/app/login</x:v>
      </x:c>
      <x:c r="I6" s="12" t="str">
        <x:v>Low</x:v>
      </x:c>
      <x:c r="J6" s="12" t="str">
        <x:v>BASELINE LOCK — CD-001 / SCR-PUB-010 — SPONSOR ACCEPTED
CD-001 is DONE FOR NOW and establishes the Saqeel grammar. Do not redesign it or regenerate ordinary variants. Reopen only for a demonstrated P0/P1 regression, security/accessibility failure, protected authentication-behavior failure or recorded release blocker.
Preserve: Arabic fresh-session default; full document RTL; credentials physically on the right in Arabic desktop; unified sign-in; role routing through /launch; existing Supabase authentication; neutral errors; FND-003 audit; anti-enumeration reset; public-safe Saudi Industrial Inspection Atlas; six map-bound stages Plan → Travel → Arrive → Inspect → Review → Decide; dark atlas viewport in both shells; magenta-violet prism branding; accessible list alternatives for operational maps.
SHARED SHELL CONTRACT V3 — MANDATORY
Shell family: Public access — no authenticated shell.
Tab/placement: Preserve accepted access grammar; never add the business sidebar/topbar to login or reset.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7" ht="210" customHeight="1">
      <x:c r="A7" s="12" t="n">
        <x:v>2</x:v>
      </x:c>
      <x:c r="B7" s="12" t="str">
        <x:v>B1 — Access baseline</x:v>
      </x:c>
      <x:c r="C7" s="12" t="str">
        <x:v>CD-002</x:v>
      </x:c>
      <x:c r="D7" s="12" t="str">
        <x:v>AUTH-02</x:v>
      </x:c>
      <x:c r="E7" s="12" t="str">
        <x:v>Authentication</x:v>
      </x:c>
      <x:c r="F7" s="12" t="str">
        <x:v>Password recovery and reset</x:v>
      </x:c>
      <x:c r="G7" s="12" t="str">
        <x:v>/login (forgot states); /reset</x:v>
      </x:c>
      <x:c r="H7" s="12" t="str">
        <x:v>apps/web/src/app/login/LoginClient.tsx; apps/web/src/app/reset</x:v>
      </x:c>
      <x:c r="I7" s="12" t="str">
        <x:v>Low</x:v>
      </x:c>
      <x:c r="J7" s="12" t="str">
        <x:v>POST-APPROVAL WIRING AUDIT — CD-002 / PASSWORD RECOVERY AND RESET
SPONSOR DESIGN APPROVED. Do not restart visual design. Reopen only for a genuine P0/P1, protected reset/authentication regression, security or accessibility failure.
Verify every approved state in the real /login and /reset runtime: forgot-password entry; invalid email; request in progress; neutral confirmation; transport failure with email preserved; link checking; new-password form; mismatch; runtime-backed policy failure; one truthful invalid-or-expired link state; successful update and sign-out; dark/light; Arabic RTL; narrow layout; keyboard focus transfer; screen-reader alerts/status.
Protected chain: never reveal whether an account exists; preserve resetPasswordForEmail; password_reset_requested and password_reset_completed audit events; PASSWORD_RECOVERY/SIGNED_IN detection window; updateUser followed by sign-out; no auto-login; no raw provider errors; safe neutral failure copy. Do not invent password rules, strength scoring, duration, cooldown, timing, OTP, support contacts or already-used-link detection.
Return WIRING_MAP_CD-002.csv and runtime evidence. Design approval does not equal VERTICAL_SLICE_PASS.
SHARED SHELL CONTRACT V3 — MANDATORY
Shell family: Public access — no authenticated shell.
Tab/placement: Preserve accepted access grammar; never add the business sidebar/topbar to login or reset.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8" ht="210" customHeight="1">
      <x:c r="A8" s="12" t="n">
        <x:v>3</x:v>
      </x:c>
      <x:c r="B8" s="12" t="str">
        <x:v>B1 — Access baseline</x:v>
      </x:c>
      <x:c r="C8" s="12" t="str">
        <x:v>CD-003</x:v>
      </x:c>
      <x:c r="D8" s="12" t="str">
        <x:v>AUTH-03</x:v>
      </x:c>
      <x:c r="E8" s="12" t="str">
        <x:v>Authentication</x:v>
      </x:c>
      <x:c r="F8" s="12" t="str">
        <x:v>Role resolution, unauthorized and no workspace</x:v>
      </x:c>
      <x:c r="G8" s="12" t="str">
        <x:v>/launch; protected-route state</x:v>
      </x:c>
      <x:c r="H8" s="12" t="str">
        <x:v>apps/web/src/app/launch/page.tsx; apps/web/middleware.ts; apps/web/src/components/Shell.tsx</x:v>
      </x:c>
      <x:c r="I8" s="12" t="str">
        <x:v>Medium</x:v>
      </x:c>
      <x:c r="J8" s="12" t="str">
        <x:v>CLAUDE DESIGN SCREEN PROMPT — CD-003 / AUTH-03
You are designing Role resolution, unauthorized and no workspace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launch/page.tsx; middleware.ts; rbac_matrix.csv; personas.yaml. Inspect the existing implementation at apps/web/src/app/launch/page.tsx; apps/web/middleware.ts; apps/web/src/components/Shell.tsx. Record branch, commit and dirty-worktree state. Do not design from screenshots alone.
CONTRACT
Screen: AUTH-03. Route/mode: /launch; protected-route state. Persona: All authenticated personas. Journey: Cross-channel routing. Engines: ENG-12. User job: Reach the correct workspace or receive a safe, actionable denial. Requirements: Filter the 493-row acceptance ledger and 478-row traceability by this screen and journey; preserve every matched row.
DESIGN THESIS
Role resolution is nearly invisible when successful and unmistakably safe when a role is missing, expired or outside scope.
Why this way: The present fallback to /admin is an avoidable trust and security smell. Unknown roles need a neutral no-workspace destination.
Signature differentiator: The denial explains access scope, session identity and support path without exposing other modules.
Outlier/hard case: Authenticated-but-unassigned, multi-role, stale-role and wrong-channel states differ from unauthenticated login.
INFLUENCE AND ORIGINALITY
Study references R01, R02, R11, R14 in the pack’s Reference Library. Adopt this principle: Enterprise role-based launch behavior with government-service error clarity. Explicitly reject: No portal chooser, admin leak, or broad app menu before authorization. Saqeel’s DEC-011 tokens, typography, dark/light themes, EN/AR behavior and component grammar remain the visual authority.
MANDATORY OBJECTS
Resolving indicator; destination label; account identity; no-workspace panel; safe sign-out; request-support path; correlation/audit reference.
Mandatory states: Resolving; one role; multiple roles; no role; unauthorized route; expired session; network failure.
Blind spots to resolve visibly: Changing fallback behavior is an implementation/security decision; design must flag it for approval rather than silently change routing.
Art direction: Use a compact transition state, not a dashboard. The exception screen should feel deliberate and secure, not like a 404.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CD-003_AUTH-03_primary.png and CD-003_AUTH-03_outlier.png.
DETERMINISTIC DESIGN-TO-CODE REPLACEMENT CONTRACT
The repository-derived candidate file inventory is: apps/web/src/app/launch/page.tsx; apps/web/middleware.ts; apps/web/src/components/Shell.tsx.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IMPLEMENTATION_MANIFEST_CD-003.yaml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COMPONENT_MAP_CD-003.csv mapping each design component/state to the existing or proposed code component and CSS selector/token; (C) CLAUDE_CODE_HANDOFF_CD-003.md with the controlled application order: semantic tokens → approved assets → shared components → route composition → localization → tests/evidence; and (D) ACCEPTANCE_CHECKLIST_CD-003.md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Access resolution.
Tab/placement: Resolve role server-side before revealing business navigation; no-workspace remains neutral and scoped.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9" ht="210" customHeight="1">
      <x:c r="A9" s="12" t="n">
        <x:v>4</x:v>
      </x:c>
      <x:c r="B9" s="12" t="str">
        <x:v>B2 — WEB-I planning and visits · NEXT</x:v>
      </x:c>
      <x:c r="C9" s="12" t="str">
        <x:v>CD-020</x:v>
      </x:c>
      <x:c r="D9" s="12" t="str">
        <x:v>SCR-WEB-100</x:v>
      </x:c>
      <x:c r="E9" s="12" t="str">
        <x:v>Web — Planning</x:v>
      </x:c>
      <x:c r="F9" s="12" t="str">
        <x:v>Visit planning home</x:v>
      </x:c>
      <x:c r="G9" s="12" t="str">
        <x:v>/planning</x:v>
      </x:c>
      <x:c r="H9" s="12" t="str">
        <x:v>apps/web/src/app/planning/page.tsx</x:v>
      </x:c>
      <x:c r="I9" s="12" t="str">
        <x:v>Low</x:v>
      </x:c>
      <x:c r="J9" s="12" t="str">
        <x:v>CLAUDE DESIGN SCREEN PROMPT — CD-020 / SCR-WEB-100
You are designing Visit planning home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planning/page.tsx; SB04; SCR-WEB-100. Inspect the existing implementation at apps/web/src/app/planning/page.tsx. Record branch, commit and dirty-worktree state. Do not design from screenshots alone.
CONTRACT
Screen: SCR-WEB-100. Route/mode: /planning. Persona: Planner. Journey: P01. Engines: ENG-04, ENG-06, ENG-12. User job: Choose the correct planning method and resume unfinished work. Requirements: Filter the 493-row acceptance ledger and 478-row traceability by this screen and journey; preserve every matched row.
DESIGN THESIS
Three clearly differentiated planning doors—Bulk, Single and Immediate—supported by readiness and draft context.
Why this way: The method changes targeting, validation and evidence. Users should decide from intent, not from form familiarity.
Signature differentiator: Each method previews when to use it, what it produces and the non-negotiable guard that applies.
Outlier/hard case: No published package, unauthorized immediate visit and draft recovery.
INFLUENCE AND ORIGINALITY
Study references R01, R02, R06, R11 in the pack’s Reference Library. Adopt this principle: Fiori initial-page clarity and field-service scheduling intent. Explicitly reject: No equal marketing cards or wizard launched without readiness. Saqeel’s DEC-011 tokens, typography, dark/light themes, EN/AR behavior and component grammar remain the visual authority.
MANDATORY OBJECTS
Method panels; draft resume; recent plans; package readiness; operational alert; method comparison; plan register link.
Mandatory states: Ready; no package; drafts; no permission; service unavailable; first-use empty.
Blind spots to resolve visibly: Current visual is thin; planner may not understand bulk vs single outcomes; admin link must respect role scope.
Art direction: Make the decision self-explanatory in one screen and visually begin the planning storyline.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CD-020_SCR-WEB-100_primary.png and CD-020_SCR-WEB-100_outlier.png.
DETERMINISTIC DESIGN-TO-CODE REPLACEMENT CONTRACT
The repository-derived candidate file inventory is: apps/web/src/app/planning/page.tsx.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IMPLEMENTATION_MANIFEST_CD-020.yaml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COMPONENT_MAP_CD-020.csv mapping each design component/state to the existing or proposed code component and CSS selector/token; (C) CLAUDE_CODE_HANDOFF_CD-020.md with the controlled application order: semantic tokens → approved assets → shared components → route composition → localization → tests/evidence; and (D) ACCEPTANCE_CHECKLIST_CD-020.md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CD-020
Priority: immediate Web build wave, before Admin. Acceptance: DSG-015; DSG-A11Y-001.
Required research set: R16, R18, R19, R24.
Composition challenge: Compare method-decision spine, readiness-led and resume-led compositions. Make blocked methods and role-safe escalation visible; remove branding and prove it still reads as inspection planning, not a portal home.
Repository/runtime truth to reconcile: Read-side exists: published package_versions and draft visit_plans. Verify RLS and remove/guard any Admin link unavailable to the planner role.
Required vertical chain: route render → role/RLS-safe reads → method guard truth → empty/error/degraded states → AR/RTL/theme/responsive/a11y evidence
The design handoff must label unsupported controls or data as HANDOFF_BLOCKED and must not turn a visual approval into an implementation claim.
SHARED SHELL CONTRACT V3 — MANDATORY
Shell family: Shared Web/Operations shell V1.
Tab/placement: Planning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0" ht="210" customHeight="1">
      <x:c r="A10" s="12" t="n">
        <x:v>5</x:v>
      </x:c>
      <x:c r="B10" s="12" t="str">
        <x:v>B2 — WEB-I planning and visits · NEXT</x:v>
      </x:c>
      <x:c r="C10" s="12" t="str">
        <x:v>CD-021</x:v>
      </x:c>
      <x:c r="D10" s="12" t="str">
        <x:v>SCR-WEB-110</x:v>
      </x:c>
      <x:c r="E10" s="12" t="str">
        <x:v>Web — Planning</x:v>
      </x:c>
      <x:c r="F10" s="12" t="str">
        <x:v>Bulk planning criteria and targeting</x:v>
      </x:c>
      <x:c r="G10" s="12" t="str">
        <x:v>/planning/bulk</x:v>
      </x:c>
      <x:c r="H10" s="12" t="str">
        <x:v>apps/web/src/app/planning/bulk</x:v>
      </x:c>
      <x:c r="I10" s="12" t="str">
        <x:v>Low</x:v>
      </x:c>
      <x:c r="J10" s="12" t="str">
        <x:v>CLAUDE DESIGN SCREEN PROMPT — CD-021 / SCR-WEB-110
You are designing Bulk planning criteria and targeting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bulk/page.tsx; BulkForm.tsx; actions.ts; SCR-WEB-110; SB04. Inspect the existing implementation at apps/web/src/app/planning/bulk. Record branch, commit and dirty-worktree state. Do not design from screenshots alone.
CONTRACT
Screen: SCR-WEB-110. Route/mode: /planning/bulk. Persona: Planner. Journey: P01. Engines: ENG-04, ENG-06, ENG-12. User job: Build reproducible criteria, understand the resulting factory population and select targets. Requirements: Filter the 493-row acceptance ledger and 478-row traceability by this screen and journey; preserve every matched row.
DESIGN THESIS
A criteria-to-map-to-target workspace where every condition visibly changes count, geography and risk composition.
Why this way: A form followed by a table hides how filters shape regulatory coverage.
Signature differentiator: The ‘targeting lens’ synchronizes logic tree, KSA map and explainable result distribution.
Outlier/hard case: Nested AND/OR, zero matches, stale registry data, huge result sets and risk recommendations that cannot decide for the user.
INFLUENCE AND ORIGINALITY
Study references R01, R02, R06, R09, R11, R12 in the pack’s Reference Library. Adopt this principle: Dispatch filtering, map-linked operational views and accessible batch-selection tables. Explicitly reject: No GIS dashboard clone or black-box AI target list. Saqeel’s DEC-011 tokens, typography, dark/light themes, EN/AR behavior and component grammar remain the visual authority.
MANDATORY OBJECTS
Criteria tree; condition chips; live count; map clusters; risk/activity/region distribution; factory table; selection; saved criteria; validation summary.
Mandatory states: Initial; searching; no matches; invalid rule; partial data source; stale results; selected targets.
Blind spots to resolve visibly: Map denominator; large selection performance; risk explainability; exact region/city authority; keyboard criteria editing.
Art direction: Flagship planning screen: make policy logic and geographic consequence feel like one instrument.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CD-021_SCR-WEB-110_primary.png and CD-021_SCR-WEB-110_outlier.png.
DETERMINISTIC DESIGN-TO-CODE REPLACEMENT CONTRACT
The repository-derived candidate file inventory is: apps/web/src/app/planning/bulk/BulkForm.tsx; apps/web/src/app/planning/bulk/CriteriaBuilder.tsx; apps/web/src/app/planning/bulk/actions.ts; apps/web/src/app/planning/bulk/page.tsx.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IMPLEMENTATION_MANIFEST_CD-021.yaml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COMPONENT_MAP_CD-021.csv mapping each design component/state to the existing or proposed code component and CSS selector/token; (C) CLAUDE_CODE_HANDOFF_CD-021.md with the controlled application order: semantic tokens → approved assets → shared components → route composition → localization → tests/evidence; and (D) ACCEPTANCE_CHECKLIST_CD-021.md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CD-021
Priority: immediate Web build wave, before Admin. Acceptance: DSG-016; DSG-A11Y-001.
Required research set: R18, R20, R21, R22.
Composition challenge: Compare criteria-first, map-linked and result-first targeting compositions. Coordinate criteria, denominator, map and result selection; expose freshness and exclusions; never let the system appear to make an AI targeting decision.
Repository/runtime truth to reconcile: publishBulkPlan performs multiple inserts/updates/notifications and returns raw error messages. It is not proven transactional; audit RLS, guards, partial failure and neutral errors.
Required vertical chain: criteria UI → validation → publishBulkPlan → factories/package/user roles → visits + assignments + plan → audit + notifications → per-failure rollback/reconciliation tests
The design handoff must label unsupported controls or data as HANDOFF_BLOCKED and must not turn a visual approval into an implementation claim.
SHARED SHELL CONTRACT V3 — MANDATORY
Shell family: Shared Web/Operations shell V1.
Tab/placement: Planning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1" ht="210" customHeight="1">
      <x:c r="A11" s="12" t="n">
        <x:v>6</x:v>
      </x:c>
      <x:c r="B11" s="12" t="str">
        <x:v>B2 — WEB-I planning and visits · NEXT</x:v>
      </x:c>
      <x:c r="C11" s="12" t="str">
        <x:v>CD-022</x:v>
      </x:c>
      <x:c r="D11" s="12" t="str">
        <x:v>SCR-WEB-120</x:v>
      </x:c>
      <x:c r="E11" s="12" t="str">
        <x:v>Web — Planning</x:v>
      </x:c>
      <x:c r="F11" s="12" t="str">
        <x:v>Single visit planning</x:v>
      </x:c>
      <x:c r="G11" s="12" t="str">
        <x:v>/planning/single</x:v>
      </x:c>
      <x:c r="H11" s="12" t="str">
        <x:v>apps/web/src/app/planning/single</x:v>
      </x:c>
      <x:c r="I11" s="12" t="str">
        <x:v>Low</x:v>
      </x:c>
      <x:c r="J11" s="12" t="str">
        <x:v>CLAUDE DESIGN SCREEN PROMPT — CD-022 / SCR-WEB-120
You are designing Single visit planning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single/page.tsx/actions.ts; factories; SCR-WEB-120. Inspect the existing implementation at apps/web/src/app/planning/single. Record branch, commit and dirty-worktree state. Do not design from screenshots alone.
CONTRACT
Screen: SCR-WEB-120. Route/mode: /planning/single. Persona: Planner. Journey: P01. Engines: ENG-04, ENG-05, ENG-06. User job: Find one registered factory, verify identity and create a valid visit. Requirements: Filter the 493-row acceptance ledger and 478-row traceability by this screen and journey; preserve every matched row.
DESIGN THESIS
Search becomes a confident factory identification step with a compact Factory 360 preview before configuration.
Why this way: Selecting the wrong factory is more damaging than filling the form incorrectly.
Signature differentiator: Identity-confidence card compares CR/license, official location, activity and recent inspection context before selection.
Outlier/hard case: Duplicate names, stale license, missing coordinates and existing overlapping visit.
INFLUENCE AND ORIGINALITY
Study references R01, R02, R07, R11 in the pack’s Reference Library. Adopt this principle: Asset search and object-detail verification patterns with GIS provenance. Explicitly reject: No simple autocomplete-to-form jump. Saqeel’s DEC-011 tokens, typography, dark/light themes, EN/AR behavior and component grammar remain the visual authority.
MANDATORY OBJECTS
Identifier search; result confidence; map; CR/license; activity; risk context; recent visits; duplicate warning; continue.
Mandatory states: Searching; no result; ambiguous; source degraded; missing location; duplicate visit; selected.
Blind spots to resolve visibly: Factory data provenance; sensitive fields; stale external registry; risk must inform, not decide.
Art direction: Make correct identity selection feel deliberate and fast.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CD-022_SCR-WEB-120_primary.png and CD-022_SCR-WEB-120_outlier.png.
DETERMINISTIC DESIGN-TO-CODE REPLACEMENT CONTRACT
The repository-derived candidate file inventory is: apps/web/src/app/planning/single/Wizard.tsx; apps/web/src/app/planning/single/actions.ts; apps/web/src/app/planning/single/page.tsx.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IMPLEMENTATION_MANIFEST_CD-022.yaml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COMPONENT_MAP_CD-022.csv mapping each design component/state to the existing or proposed code component and CSS selector/token; (C) CLAUDE_CODE_HANDOFF_CD-022.md with the controlled application order: semantic tokens → approved assets → shared components → route composition → localization → tests/evidence; and (D) ACCEPTANCE_CHECKLIST_CD-022.md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CD-022
Priority: immediate Web build wave, before Admin. Acceptance: DSG-017; DSG-A11Y-001.
Required research set: R16, R19, R21, R24.
Composition challenge: Build a search-to-confidence flow that distinguishes exact, ambiguous and degraded matches. Show factory provenance and selection consequences before configuration; do not collapse the journey into a generic wizard.
Repository/runtime truth to reconcile: publishSingleVisit performs multiple writes and notifications without proven transactionality. Verify canonical state changes, partial failure, RLS and audit continuity.
Required vertical chain: factory selection → validation → publishSingleVisit → visit + assignment + plan → canonical publish/audit/notification → conflict and partial-failure tests
The design handoff must label unsupported controls or data as HANDOFF_BLOCKED and must not turn a visual approval into an implementation claim.
SHARED SHELL CONTRACT V3 — MANDATORY
Shell family: Shared Web/Operations shell V1.
Tab/placement: Planning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2" ht="210" customHeight="1">
      <x:c r="A12" s="12" t="n">
        <x:v>7</x:v>
      </x:c>
      <x:c r="B12" s="12" t="str">
        <x:v>B2 — WEB-I planning and visits · NEXT</x:v>
      </x:c>
      <x:c r="C12" s="12" t="str">
        <x:v>CD-023</x:v>
      </x:c>
      <x:c r="D12" s="12" t="str">
        <x:v>SCR-WEB-130</x:v>
      </x:c>
      <x:c r="E12" s="12" t="str">
        <x:v>Web — Planning</x:v>
      </x:c>
      <x:c r="F12" s="12" t="str">
        <x:v>Immediate visit planning</x:v>
      </x:c>
      <x:c r="G12" s="12" t="str">
        <x:v>/planning/immediate</x:v>
      </x:c>
      <x:c r="H12" s="12" t="str">
        <x:v>apps/web/src/app/planning/immediate</x:v>
      </x:c>
      <x:c r="I12" s="12" t="str">
        <x:v>Medium</x:v>
      </x:c>
      <x:c r="J12" s="12" t="str">
        <x:v>CLAUDE DESIGN SCREEN PROMPT — CD-023 / SCR-WEB-130
You are designing Immediate visit planning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immediate/page.tsx; ImmediateForm.tsx; actions.ts; SCR-WEB-130. Inspect the existing implementation at apps/web/src/app/planning/immediate. Record branch, commit and dirty-worktree state. Do not design from screenshots alone.
CONTRACT
Screen: SCR-WEB-130. Route/mode: /planning/immediate. Persona: Planner; Authorized Inspector. Journey: P01. Engines: ENG-03, ENG-05, ENG-06, ENG-12. User job: Dispatch an urgent registered or unregistered visit with minimum governed information. Requirements: Filter the 493-row acceptance ledger and 478-row traceability by this screen and journey; preserve every matched row.
DESIGN THESIS
A fast but visibly governed emergency flow separating urgency from permission to bypass normal preparation.
Why this way: Speed cannot remove identity, location, reason, package, assignment or audit controls.
Signature differentiator: ‘Minimum viable authority’ bar shows exactly which protections remain mandatory under urgency.
Outlier/hard case: Unregistered factory, manual coordinates, no available inspector and unauthorized user.
INFLUENCE AND ORIGINALITY
Study references R01, R02, R06, R07, R14 in the pack’s Reference Library. Adopt this principle: Field-service quick scheduling plus government error clarity and GIS confidence. Explicitly reject: No red emergency-themed form or silent bypass switches. Saqeel’s DEC-011 tokens, typography, dark/light themes, EN/AR behavior and component grammar remain the visual authority.
MANDATORY OBJECTS
Registered/unregistered choice; urgency reason; identity/location; visit type; package; inspector; window; notes; minimum-control bar; dispatch review.
Mandatory states: Authorized; unauthorized; missing identity/location; invalid coordinates; no inspector; dispatch success/failure.
Blind spots to resolve visibly: Urgency may encourage weak data; manual location confidence; unregistered record reconciliation; no invented override rules.
Art direction: Make it fast through hierarchy and defaults, not by hiding controls.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CD-023_SCR-WEB-130_primary.png and CD-023_SCR-WEB-130_outlier.png.
DETERMINISTIC DESIGN-TO-CODE REPLACEMENT CONTRACT
The repository-derived candidate file inventory is: apps/web/src/app/planning/immediate/ImmediateForm.tsx; apps/web/src/app/planning/immediate/actions.ts; apps/web/src/app/planning/immediate/page.tsx.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IMPLEMENTATION_MANIFEST_CD-023.yaml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COMPONENT_MAP_CD-023.csv mapping each design component/state to the existing or proposed code component and CSS selector/token; (C) CLAUDE_CODE_HANDOFF_CD-023.md with the controlled application order: semantic tokens → approved assets → shared components → route composition → localization → tests/evidence; and (D) ACCEPTANCE_CHECKLIST_CD-023.md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CD-023
Priority: immediate Web build wave, before Admin. Acceptance: DSG-018; DSG-A11Y-001.
Required research set: R16, R21, R24, R25.
Composition challenge: Create urgency without weakening authority, evidence or validation. Compare compact authority-bar, consequence-first and context-first variants; avoid red-alert theatre and never imply unverified location truth.
Repository/runtime truth to reconcile: createImmediateVisit can create a temporary factory with hard-coded Riyadh and does not reliably prove assignment insert success before continuing. Region and partial failure need correction or an explicit block.
Required vertical chain: urgent request → authority/identity validation → temporary/known factory decision → assignment + visit → audit/notification → location and partial-failure proof
The design handoff must label unsupported controls or data as HANDOFF_BLOCKED and must not turn a visual approval into an implementation claim.
SHARED SHELL CONTRACT V3 — MANDATORY
Shell family: Shared Web/Operations shell V1.
Tab/placement: Planning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3" ht="210" customHeight="1">
      <x:c r="A13" s="12" t="n">
        <x:v>8</x:v>
      </x:c>
      <x:c r="B13" s="12" t="str">
        <x:v>B2 — WEB-I planning and visits · NEXT</x:v>
      </x:c>
      <x:c r="C13" s="12" t="str">
        <x:v>CD-024</x:v>
      </x:c>
      <x:c r="D13" s="12" t="str">
        <x:v>SCR-WEB-140</x:v>
      </x:c>
      <x:c r="E13" s="12" t="str">
        <x:v>Web — Planning</x:v>
      </x:c>
      <x:c r="F13" s="12" t="str">
        <x:v>Visit configuration and assignment</x:v>
      </x:c>
      <x:c r="G13" s="12" t="str">
        <x:v>/planning/plans/:id</x:v>
      </x:c>
      <x:c r="H13" s="12" t="str">
        <x:v>apps/web/src/app/planning/plans/[id]/page.tsx</x:v>
      </x:c>
      <x:c r="I13" s="12" t="str">
        <x:v>Low</x:v>
      </x:c>
      <x:c r="J13" s="12" t="str">
        <x:v>CLAUDE DESIGN SCREEN PROMPT — CD-024 / SCR-WEB-140
You are designing Visit configuration and assignment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plans/[id]/page.tsx; assignments; SCR-WEB-140; P02. Inspect the existing implementation at apps/web/src/app/planning/plans/[id]/page.tsx. Record branch, commit and dirty-worktree state. Do not design from screenshots alone.
CONTRACT
Screen: SCR-WEB-140. Route/mode: /planning/plans/:id. Persona: Planner. Journey: P02. Engines: ENG-02, ENG-03, ENG-05, ENG-06, ENG-11, ENG-12. User job: Set visit configuration and assign an eligible inspector without creating conflicts. Requirements: Filter the 493-row acceptance ledger and 478-row traceability by this screen and journey; preserve every matched row.
DESIGN THESIS
A split workspace pairs visit configuration with inspector capacity, geography and conflict evidence.
Why this way: A dropdown cannot express workload, availability, skill, proximity or overlap.
Signature differentiator: Assignment confidence panel explains why each candidate is eligible and what tradeoff the planner is accepting.
Outlier/hard case: Overlapping visit, unavailable inspector, wrong execution mode and package/effective-date mismatch.
INFLUENCE AND ORIGINALITY
Study references R01, R02, R06, R11, R12 in the pack’s Reference Library. Adopt this principle: Dynamics scheduling assistant and enterprise object editing. Explicitly reject: No drag-and-drop schedule board in a single-visit form. Saqeel’s DEC-011 tokens, typography, dark/light themes, EN/AR behavior and component grammar remain the visual authority.
MANDATORY OBJECTS
Visit window/type/package/mode; candidate list; workload timeline; map proximity; conflict panel; auto/manual method; reasoned override; audit preview.
Mandatory states: Valid; no package; no candidate; conflict; stale availability; override requested; ready.
Blind spots to resolve visibly: Eligibility logic must match backend; travel time provider; workload scope; manual override policy.
Art direction: Turn assignment from a dropdown into an explainable planning decision without slowing routine cases.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CD-024_SCR-WEB-140_primary.png and CD-024_SCR-WEB-140_outlier.png.
DETERMINISTIC DESIGN-TO-CODE REPLACEMENT CONTRACT
The repository-derived candidate file inventory is: apps/web/src/app/planning/plans/[id]/page.tsx.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IMPLEMENTATION_MANIFEST_CD-024.yaml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COMPONENT_MAP_CD-024.csv mapping each design component/state to the existing or proposed code component and CSS selector/token; (C) CLAUDE_CODE_HANDOFF_CD-024.md with the controlled application order: semantic tokens → approved assets → shared components → route composition → localization → tests/evidence; and (D) ACCEPTANCE_CHECKLIST_CD-024.md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CD-024
Priority: immediate Web build wave, before Admin. Acceptance: DSG-019; DSG-A11Y-001.
Required research set: R18, R19, R20, R22.
Composition challenge: Express assignment as a constraint and eligibility decision, not a staff dropdown. Compare constraint-matrix, inspector-first and visit-first compositions. Current route is read-only: the handoff must remain blocked until real actions and guards are mapped.
Repository/runtime truth to reconcile: The mapped /planning/plans/:id page is a read-only plan drill-down. No configuration or assignment action is currently mapped. HANDOFF_BLOCKED until exact handlers, tables and guards exist.
Required vertical chain: configuration UI → real server action (currently missing) → eligibility/guard evaluation → assignments/visit plan → audit → authorization/conflict tests
The design handoff must label unsupported controls or data as HANDOFF_BLOCKED and must not turn a visual approval into an implementation claim.
SHARED SHELL CONTRACT V3 — MANDATORY
Shell family: Shared Web/Operations shell V1.
Tab/placement: Planning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4" ht="210" customHeight="1">
      <x:c r="A14" s="12" t="n">
        <x:v>9</x:v>
      </x:c>
      <x:c r="B14" s="12" t="str">
        <x:v>B2 — WEB-I planning and visits · NEXT</x:v>
      </x:c>
      <x:c r="C14" s="12" t="str">
        <x:v>CD-025</x:v>
      </x:c>
      <x:c r="D14" s="12" t="str">
        <x:v>SCR-WEB-150</x:v>
      </x:c>
      <x:c r="E14" s="12" t="str">
        <x:v>Web — Planning</x:v>
      </x:c>
      <x:c r="F14" s="12" t="str">
        <x:v>Plan review and publish</x:v>
      </x:c>
      <x:c r="G14" s="12" t="str">
        <x:v>/planning/plans/:id (review mode)</x:v>
      </x:c>
      <x:c r="H14" s="12" t="str">
        <x:v>apps/web/src/app/planning/plans/[id]/page.tsx</x:v>
      </x:c>
      <x:c r="I14" s="12" t="str">
        <x:v>Low</x:v>
      </x:c>
      <x:c r="J14" s="12" t="str">
        <x:v>CLAUDE DESIGN SCREEN PROMPT — CD-025 / SCR-WEB-150
You are designing Plan review and publish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plans/[id]/page.tsx; publish actions; STM-PLAN-002; SCR-WEB-150. Inspect the existing implementation at apps/web/src/app/planning/plans/[id]/page.tsx. Record branch, commit and dirty-worktree state. Do not design from screenshots alone.
CONTRACT
Screen: SCR-WEB-150. Route/mode: /planning/plans/:id (review mode). Persona: Planner; Approver. Journey: P03. Engines: ENG-03, ENG-05, ENG-11, ENG-12. User job: Prove a plan is complete and publish child visits atomically. Requirements: Filter the 493-row acceptance ledger and 478-row traceability by this screen and journey; preserve every matched row.
DESIGN THESIS
A pre-flight dossier with targets, configuration, assignments, notifications and blockers culminating in one governed publish.
Why this way: Publish is an irreversible operational handoff, not a save button.
Signature differentiator: Atomic-publish preview shows exactly what records, assignments, notifications and locked versions will be created.
Outlier/hard case: Stale target data, duplicate visits, partial assignment and last-second package invalidation.
INFLUENCE AND ORIGINALITY
Study references R01, R02, R10, R11, R14 in the pack’s Reference Library. Adopt this principle: Deployment review discipline and government-service error summaries. Explicitly reject: No generic confirmation modal or optimistic partial publish. Saqeel’s DEC-011 tokens, typography, dark/light themes, EN/AR behavior and component grammar remain the visual authority.
MANDATORY OBJECTS
Summary; targets; visit list; assignment coverage; package version; validation groups; notifications; impact; publish confirmation; return to edit.
Mandatory states: Validating; blocked; warning; approval required; publishing; complete; atomic failure.
Blind spots to resolve visibly: Partial failure must not be presented as success; stale-data revalidation; maker-checker; focus must jump to blocker.
Art direction: Make publish feel consequential, reviewable and calm.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CD-025_SCR-WEB-150_primary.png and CD-025_SCR-WEB-150_outlier.png.
DETERMINISTIC DESIGN-TO-CODE REPLACEMENT CONTRACT
The repository-derived candidate file inventory is: apps/web/src/app/planning/plans/[id]/page.tsx.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IMPLEMENTATION_MANIFEST_CD-025.yaml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COMPONENT_MAP_CD-025.csv mapping each design component/state to the existing or proposed code component and CSS selector/token; (C) CLAUDE_CODE_HANDOFF_CD-025.md with the controlled application order: semantic tokens → approved assets → shared components → route composition → localization → tests/evidence; and (D) ACCEPTANCE_CHECKLIST_CD-025.md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CD-025
Priority: immediate Web build wave, before Admin. Acceptance: DSG-020; DSG-A11Y-001.
Required research set: R18, R19, R24, R25.
Composition challenge: Replace the phrase ‘atomic-publish preview’ with a truthful publish consequence ledger unless a transaction/RPC proves atomicity. Use blocker links, change paths and irreversible-action confirmation; current route has no mapped publish action.
Repository/runtime truth to reconcile: The same plan-detail route has no mapped publish action. Do not claim atomic publish. HANDOFF_BLOCKED until an approved transition/transaction and rollback behavior are evidenced.
Required vertical chain: review UI → blocker validation → canonical publish transaction/RPC (currently missing) → version/status/audit/notifications → rollback and double-submit tests
The design handoff must label unsupported controls or data as HANDOFF_BLOCKED and must not turn a visual approval into an implementation claim.
SHARED SHELL CONTRACT V3 — MANDATORY
Shell family: Shared Web/Operations shell V1.
Tab/placement: Planning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5" ht="210" customHeight="1">
      <x:c r="A15" s="12" t="n">
        <x:v>10</x:v>
      </x:c>
      <x:c r="B15" s="12" t="str">
        <x:v>B2 — WEB-I planning and visits · NEXT</x:v>
      </x:c>
      <x:c r="C15" s="12" t="str">
        <x:v>CD-026</x:v>
      </x:c>
      <x:c r="D15" s="12" t="str">
        <x:v>SCR-WEB-200</x:v>
      </x:c>
      <x:c r="E15" s="12" t="str">
        <x:v>Web — Visits</x:v>
      </x:c>
      <x:c r="F15" s="12" t="str">
        <x:v>Visit management workspace</x:v>
      </x:c>
      <x:c r="G15" s="12" t="str">
        <x:v>/visits; /visits/calendar; /visits/workload</x:v>
      </x:c>
      <x:c r="H15" s="12" t="str">
        <x:v>apps/web/src/app/visits</x:v>
      </x:c>
      <x:c r="I15" s="12" t="str">
        <x:v>Low</x:v>
      </x:c>
      <x:c r="J15" s="12" t="str">
        <x:v>CLAUDE DESIGN SCREEN PROMPT — CD-026 / SCR-WEB-200
You are designing Visit management workspace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visits pages/components; calendar; workload; SCR-WEB-200; SB05. Inspect the existing implementation at apps/web/src/app/visits. Record branch, commit and dirty-worktree state. Do not design from screenshots alone.
CONTRACT
Screen: SCR-WEB-200. Route/mode: /visits; /visits/calendar; /visits/workload. Persona: Planner; Operations; Branch Manager. Journey: P03. Engines: ENG-03, ENG-05, ENG-06, ENG-11, ENG-12. User job: Search, monitor and act on visits across list, calendar, workload and map contexts. Requirements: Filter the 493-row acceptance ledger and 478-row traceability by this screen and journey; preserve every matched row.
DESIGN THESIS
One synchronized operational workspace with persistent filters and a view switch that preserves the same scoped dataset.
Why this way: Separate unrelated pages force users to rebuild context and hide impossible travel or capacity patterns.
Signature differentiator: List–calendar–workload–map continuity: selecting a visit highlights the same object and exposes the same allowed actions everywhere.
Outlier/hard case: Partial bulk failure, stale row, mixed planning/operational states and unauthorized actions.
INFLUENCE AND ORIGINALITY
Study references R01, R02, R06, R09, R11, R12 in the pack’s Reference Library. Adopt this principle: Dynamics schedule board, ArcGIS coordinated views and enterprise batch tables. Explicitly reject: No monolithic dispatch board or map-first screen that sacrifices table precision. Saqeel’s DEC-011 tokens, typography, dark/light themes, EN/AR behavior and component grammar remain the visual authority.
MANDATORY OBJECTS
KPI strip; saved filters; list; calendar; workload lanes; map; selected-object drawer; bulk bar; export; freshness; action guards.
Mandatory states: Loading; empty; no match; stale; partial bulk failure; unauthorized; service-degraded widget.
Blind spots to resolve visibly: Current separate routes; state-domain confusion; map source; bulk result audit; filter persistence; role-specific actions.
Art direction: Flagship web workspace. Make complexity feel coherent through shared selection and stable context.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CD-026_SCR-WEB-200_primary.png and CD-026_SCR-WEB-200_outlier.png.
DETERMINISTIC DESIGN-TO-CODE REPLACEMENT CONTRACT
The repository-derived candidate file inventory is: apps/web/src/app/visits/VisitsBoard.tsx; apps/web/src/app/visits/[id]/ActionBar.tsx; apps/web/src/app/visits/[id]/Attachments.tsx; apps/web/src/app/visits/[id]/NotesEditor.tsx; apps/web/src/app/visits/[id]/actions.ts; apps/web/src/app/visits/[id]/loading.tsx; apps/web/src/app/visits/[id]/page.tsx; apps/web/src/app/visits/actions.ts; apps/web/src/app/visits/calendar/CalendarBoard.tsx; apps/web/src/app/visits/calendar/page.tsx; apps/web/src/app/visits/loading.tsx; apps/web/src/app/visits/page.tsx; apps/web/src/app/visits/workload/page.tsx.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IMPLEMENTATION_MANIFEST_CD-026.yaml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COMPONENT_MAP_CD-026.csv mapping each design component/state to the existing or proposed code component and CSS selector/token; (C) CLAUDE_CODE_HANDOFF_CD-026.md with the controlled application order: semantic tokens → approved assets → shared components → route composition → localization → tests/evidence; and (D) ACCEPTANCE_CHECKLIST_CD-026.md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CD-026
Priority: immediate Web build wave, before Admin. Acceptance: DSG-021; DSG-A11Y-001.
Required research set: R18, R20, R21, R22.
Composition challenge: Prove one selected visit remains the same object across list, calendar, workload and map. Compare coordinated-lens, queue-first and schedule-first compositions; handle partial bulk outcomes and never invent a wired map.
Repository/runtime truth to reconcile: List, calendar and workload routes exist; the operational map is not proven wired. Bulk actions can partially succeed. Preserve filters/object identity and report per-item outcomes truthfully.
Required vertical chain: workspace query → coordinated filters/selection → bulk server action → visits/assignments/RPC expiry → audit/notifications → per-item and stale-selection tests
The design handoff must label unsupported controls or data as HANDOFF_BLOCKED and must not turn a visual approval into an implementation claim.
SHARED SHELL CONTRACT V3 — MANDATORY
Shell family: Shared Web/Operations shell V1.
Tab/placement: Visit Management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6" ht="210" customHeight="1">
      <x:c r="A16" s="12" t="n">
        <x:v>11</x:v>
      </x:c>
      <x:c r="B16" s="12" t="str">
        <x:v>B2 — WEB-I planning and visits · NEXT</x:v>
      </x:c>
      <x:c r="C16" s="12" t="str">
        <x:v>CD-027</x:v>
      </x:c>
      <x:c r="D16" s="12" t="str">
        <x:v>SCR-WEB-210</x:v>
      </x:c>
      <x:c r="E16" s="12" t="str">
        <x:v>Web — Visits</x:v>
      </x:c>
      <x:c r="F16" s="12" t="str">
        <x:v>Visit detail</x:v>
      </x:c>
      <x:c r="G16" s="12" t="str">
        <x:v>/visits/:id</x:v>
      </x:c>
      <x:c r="H16" s="12" t="str">
        <x:v>apps/web/src/app/visits/[id]</x:v>
      </x:c>
      <x:c r="I16" s="12" t="str">
        <x:v>Low</x:v>
      </x:c>
      <x:c r="J16" s="12" t="str">
        <x:v>CLAUDE DESIGN SCREEN PROMPT — CD-027 / SCR-WEB-210
You are designing Visit detail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visits/[id]/page.tsx/actions.ts; state transitions; SCR-WEB-210. Inspect the existing implementation at apps/web/src/app/visits/[id]. Record branch, commit and dirty-worktree state. Do not design from screenshots alone.
CONTRACT
Screen: SCR-WEB-210. Route/mode: /visits/:id. Persona: Planner; Operations; Inspector read context. Journey: P03. Engines: ENG-03, ENG-05, ENG-06, ENG-11, ENG-12. User job: Understand the visit’s identity, state, assignment, package, timeline and exceptions, then take only valid actions. Requirements: Filter the 493-row acceptance ledger and 478-row traceability by this screen and journey; preserve every matched row.
DESIGN THESIS
A living visit dossier with operational state and immutable history in the header.
Why this way: Visit details span planning and execution; a flat form obscures what may still change.
Signature differentiator: Dual-state ribbon separates planning status, operational state, journey, inspection and review without collapsing them into one chip.
Outlier/hard case: Cancelled/expired visits, reassignment, conflict, returned plan and missing linked service.
INFLUENCE AND ORIGINALITY
Study references R01, R02, R11, R12 in the pack’s Reference Library. Adopt this principle: Fiori object page and auditable timeline patterns. Explicitly reject: No generic CRM record page or editable-all-fields screen. Saqeel’s DEC-011 tokens, typography, dark/light themes, EN/AR behavior and component grammar remain the visual authority.
MANDATORY OBJECTS
Identity header; dual-state ribbon; factory; assignment; schedule; package; map; notes/attachments; timeline; exceptions; allowed actions.
Mandatory states: Published; returned; cancelled; expired; executing; submitted; service degraded; not found/out of scope.
Blind spots to resolve visibly: State vocabulary; role/state action guards; history must remain after cancellation; partial linked-data failures.
Art direction: Let users reconstruct the entire visit without opening multiple modules.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CD-027_SCR-WEB-210_primary.png and CD-027_SCR-WEB-210_outlier.png.
DETERMINISTIC DESIGN-TO-CODE REPLACEMENT CONTRACT
The repository-derived candidate file inventory is: apps/web/src/app/visits/[id]/ActionBar.tsx; apps/web/src/app/visits/[id]/Attachments.tsx; apps/web/src/app/visits/[id]/NotesEditor.tsx; apps/web/src/app/visits/[id]/actions.ts; apps/web/src/app/visits/[id]/loading.tsx; apps/web/src/app/visits/[id]/page.tsx.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IMPLEMENTATION_MANIFEST_CD-027.yaml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COMPONENT_MAP_CD-027.csv mapping each design component/state to the existing or proposed code component and CSS selector/token; (C) CLAUDE_CODE_HANDOFF_CD-027.md with the controlled application order: semantic tokens → approved assets → shared components → route composition → localization → tests/evidence; and (D) ACCEPTANCE_CHECKLIST_CD-027.md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CD-027
Priority: immediate Web build wave, before Admin. Acceptance: DSG-022; DSG-A11Y-001.
Required research set: R18, R19, R24, R25.
Composition challenge: Make lifecycle state, assignment state, immutable history and allowed actions legible in one state ribbon. Design for partial side-effect failure and safe recovery; raw provider errors and direct status mutation may not leak into the experience.
Repository/runtime truth to reconcile: Visit actions span state, assignment, notes, attachments, storage and notifications. Raw errors and multi-write partial failures exist; verify canonical transitions, immutable history and audit events.
Required vertical chain: detail query → allowed action guard → visit/assignment/storage updates → audit + notification → partial-side-effect, unauthorized and stale-state tests
The design handoff must label unsupported controls or data as HANDOFF_BLOCKED and must not turn a visual approval into an implementation claim.
SHARED SHELL CONTRACT V3 — MANDATORY
Shell family: Shared Web/Operations shell V1.
Tab/placement: Visit Management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7" ht="210" customHeight="1">
      <x:c r="A17" s="12" t="n">
        <x:v>12</x:v>
      </x:c>
      <x:c r="B17" s="12" t="str">
        <x:v>B3 — WEB-II review and Factory 360 · NEXT</x:v>
      </x:c>
      <x:c r="C17" s="12" t="str">
        <x:v>CD-028</x:v>
      </x:c>
      <x:c r="D17" s="12" t="str">
        <x:v>SCR-WEB-300</x:v>
      </x:c>
      <x:c r="E17" s="12" t="str">
        <x:v>Web — Review</x:v>
      </x:c>
      <x:c r="F17" s="12" t="str">
        <x:v>Level 2 review queue</x:v>
      </x:c>
      <x:c r="G17" s="12" t="str">
        <x:v>/reviews</x:v>
      </x:c>
      <x:c r="H17" s="12" t="str">
        <x:v>apps/web/src/app/reviews/page.tsx</x:v>
      </x:c>
      <x:c r="I17" s="12" t="str">
        <x:v>Low</x:v>
      </x:c>
      <x:c r="J17" s="12" t="str">
        <x:v>CLAUDE DESIGN SCREEN PROMPT — CD-028 / SCR-WEB-300
You are designing Level 2 review queue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reviews/page.tsx; DecisionPanel.tsx; SCR-WEB-300; SB10. Inspect the existing implementation at apps/web/src/app/reviews/page.tsx. Record branch, commit and dirty-worktree state. Do not design from screenshots alone.
CONTRACT
Screen: SCR-WEB-300. Route/mode: /reviews. Persona: Level 2 Reviewer. Journey: P10. Engines: ENG-03, ENG-07, ENG-09, ENG-11, ENG-12. User job: Prioritize the right submission by SLA, risk, evidence and workload. Requirements: Filter the 493-row acceptance ledger and 478-row traceability by this screen and journey; preserve every matched row.
DESIGN THESIS
A decision queue—not a report table—where urgency and review readiness are explainable.
Why this way: Reviewers need to identify regulatory risk and missing evidence without opening every case.
Signature differentiator: Evidence-readiness and SLA-risk fingerprint sits beside each immutable submission version.
Outlier/hard case: No evidence, stale assignment, multiple versions, critical violation and overdue review.
INFLUENCE AND ORIGINALITY
Study references R01, R02, R03, R11, R12 in the pack’s Reference Library. Adopt this principle: Inspection flagged-item review and enterprise worklist behavior. Explicitly reject: No ticket queue or severity-only prioritization. Saqeel’s DEC-011 tokens, typography, dark/light themes, EN/AR behavior and component grammar remain the visual authority.
MANDATORY OBJECTS
Search/filters; saved views; SLA; risk; critical count; evidence readiness; version; inspector; claim/reassign; workload context.
Mandatory states: Clear queue; filtered empty; overdue; unassigned; missing evidence; unauthorized; stale.
Blind spots to resolve visibly: Current page also renders decision panels; queue and workspace should be distinct modes; SLA config freshness.
Art direction: Make priority defensible and workload visible, with restrained operational density.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CD-028_SCR-WEB-300_primary.png and CD-028_SCR-WEB-300_outlier.png.
DETERMINISTIC DESIGN-TO-CODE REPLACEMENT CONTRACT
The repository-derived candidate file inventory is: apps/web/src/app/reviews/page.tsx.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IMPLEMENTATION_MANIFEST_CD-028.yaml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COMPONENT_MAP_CD-028.csv mapping each design component/state to the existing or proposed code component and CSS selector/token; (C) CLAUDE_CODE_HANDOFF_CD-028.md with the controlled application order: semantic tokens → approved assets → shared components → route composition → localization → tests/evidence; and (D) ACCEPTANCE_CHECKLIST_CD-028.md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CD-028
Priority: immediate Web build wave, before Admin. Acceptance: DSG-023; DSG-A11Y-001.
Required research set: R17, R18, R19, R22.
Composition challenge: Create an evidence/SLA prioritisation fingerprint that supports keyboard throughput and preserves the selected inspection. Do not draw a ticket queue. Claim/reassign controls are blocked unless a real action and authorization path are found.
Repository/runtime truth to reconcile: Queue reads exist, but dedicated claim/reassign actions are not currently mapped. Opening the workspace participates in review state creation. Do not invent queue controls.
Required vertical chain: queue query → RLS/SLA derivation → real claim/reassign action (currently missing) → review ownership/audit → keyboard and concurrency tests
The design handoff must label unsupported controls or data as HANDOFF_BLOCKED and must not turn a visual approval into an implementation claim.
SHARED SHELL CONTRACT V3 — MANDATORY
Shell family: Shared Web/Operations shell V1.
Tab/placement: Review &amp; Approval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8" ht="210" customHeight="1">
      <x:c r="A18" s="12" t="n">
        <x:v>13</x:v>
      </x:c>
      <x:c r="B18" s="12" t="str">
        <x:v>B3 — WEB-II review and Factory 360 · NEXT</x:v>
      </x:c>
      <x:c r="C18" s="12" t="str">
        <x:v>CD-029</x:v>
      </x:c>
      <x:c r="D18" s="12" t="str">
        <x:v>SCR-WEB-310</x:v>
      </x:c>
      <x:c r="E18" s="12" t="str">
        <x:v>Web — Review</x:v>
      </x:c>
      <x:c r="F18" s="12" t="str">
        <x:v>Level 2 review workspace</x:v>
      </x:c>
      <x:c r="G18" s="12" t="str">
        <x:v>/reviews/:id</x:v>
      </x:c>
      <x:c r="H18" s="12" t="str">
        <x:v>apps/web/src/app/reviews/[id]</x:v>
      </x:c>
      <x:c r="I18" s="12" t="str">
        <x:v>Low</x:v>
      </x:c>
      <x:c r="J18" s="12" t="str">
        <x:v>CLAUDE DESIGN SCREEN PROMPT — CD-029 / SCR-WEB-310
You are designing Level 2 review workspace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reviews/[id]/page.tsx/actions.ts; DecisionPanel.tsx; SCR-WEB-310. Inspect the existing implementation at apps/web/src/app/reviews/[id]. Record branch, commit and dirty-worktree state. Do not design from screenshots alone.
CONTRACT
Screen: SCR-WEB-310. Route/mode: /reviews/:id. Persona: Level 2 Reviewer. Journey: P10. Engines: ENG-03, ENG-07, ENG-08, ENG-09, ENG-12. User job: Review immutable evidence and findings, then approve, return exact sections or reject with reason. Requirements: Filter the 493-row acceptance ledger and 478-row traceability by this screen and journey; preserve every matched row.
DESIGN THESIS
An evidence-led three-zone workspace: submission navigation, immutable content, and persistent governed decision rail.
Why this way: Reviewers must compare evidence to rules without editing inspector content or losing context.
Signature differentiator: Trace chain on every finding: question → response → evidence → clause → violation → action → decision comment.
Outlier/hard case: Missing evidence, stale version, return without scope, provider-degraded media and multiple high-severity findings.
INFLUENCE AND ORIGINALITY
Study references R01, R02, R03, R04, R11, R12 in the pack’s Reference Library. Adopt this principle: Inspection flagged-review behavior plus enterprise object/diff patterns. Explicitly reject: No document viewer with a decision form appended at the bottom. Saqeel’s DEC-011 tokens, typography, dark/light themes, EN/AR behavior and component grammar remain the visual authority.
MANDATORY OBJECTS
Section nav; immutable version banner; report/checklist; evidence viewer; findings; legal trace; timeline; decision rail; return-scope selector; reason.
Mandatory states: Pending; under review; media unavailable; stale version; approve; return validation; reject; decided locked.
Blind spots to resolve visibly: Decision immutability; return scope exactness; large media; keyboard review; reviewer cannot edit inspector data.
Art direction: Flagship review screen. Every decision must feel evidence-backed and auditable.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CD-029_SCR-WEB-310_primary.png and CD-029_SCR-WEB-310_outlier.png.
DETERMINISTIC DESIGN-TO-CODE REPLACEMENT CONTRACT
The repository-derived candidate file inventory is: apps/web/src/app/reviews/[id]/DecisionPanel.tsx; apps/web/src/app/reviews/[id]/actions.ts; apps/web/src/app/reviews/[id]/page.tsx.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IMPLEMENTATION_MANIFEST_CD-029.yaml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COMPONENT_MAP_CD-029.csv mapping each design component/state to the existing or proposed code component and CSS selector/token; (C) CLAUDE_CODE_HANDOFF_CD-029.md with the controlled application order: semantic tokens → approved assets → shared components → route composition → localization → tests/evidence; and (D) ACCEPTANCE_CHECKLIST_CD-029.md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CD-029
Priority: immediate Web build wave, before Admin. Acceptance: DSG-024; DSG-A11Y-001.
Required research set: R17, R18, R19, R24.
Composition challenge: Build a trace chain from response to evidence to clause to violation to action, with an explicit decision rail. Opening a page must not silently mutate review state; duplicate action paths and inconsistent validation require a wiring decision before implementation.
Repository/runtime truth to reconcile: The workspace currently writes during page load and has duplicate action files with inconsistent reason validation. Review/inspection/notification changes are not proven transactional.
Required vertical chain: immutable submission query → explicit start/claim → decision validation → review + inspection canonical transition → audit/notification → concurrency and failure tests
The design handoff must label unsupported controls or data as HANDOFF_BLOCKED and must not turn a visual approval into an implementation claim.
SHARED SHELL CONTRACT V3 — MANDATORY
Shell family: Shared Web/Operations shell V1.
Tab/placement: Review &amp; Approval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19" ht="210" customHeight="1">
      <x:c r="A19" s="12" t="n">
        <x:v>14</x:v>
      </x:c>
      <x:c r="B19" s="12" t="str">
        <x:v>B3 — WEB-II review and Factory 360 · NEXT</x:v>
      </x:c>
      <x:c r="C19" s="12" t="str">
        <x:v>CD-030</x:v>
      </x:c>
      <x:c r="D19" s="12" t="str">
        <x:v>SCR-WEB-320</x:v>
      </x:c>
      <x:c r="E19" s="12" t="str">
        <x:v>Web — Review</x:v>
      </x:c>
      <x:c r="F19" s="12" t="str">
        <x:v>Version comparison</x:v>
      </x:c>
      <x:c r="G19" s="12" t="str">
        <x:v>/reviews/:id (compare mode)</x:v>
      </x:c>
      <x:c r="H19" s="12" t="str">
        <x:v>apps/web/src/app/reviews/[id]</x:v>
      </x:c>
      <x:c r="I19" s="12" t="str">
        <x:v>Low</x:v>
      </x:c>
      <x:c r="J19" s="12" t="str">
        <x:v>CLAUDE DESIGN SCREEN PROMPT — CD-030 / SCR-WEB-320
You are designing Version comparison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reviews/[id]; submission_versions; SCR-WEB-320; SB17. Inspect the existing implementation at apps/web/src/app/reviews/[id]. Record branch, commit and dirty-worktree state. Do not design from screenshots alone.
CONTRACT
Screen: SCR-WEB-320. Route/mode: /reviews/:id (compare mode). Persona: Reviewer; Auditor. Journey: P11. Engines: ENG-07, ENG-09, ENG-12. User job: Understand exactly what changed between returned and resubmitted immutable versions. Requirements: Filter the 493-row acceptance ledger and 478-row traceability by this screen and journey; preserve every matched row.
DESIGN THESIS
A semantic diff that prioritizes returned scope and regulatory meaning, not raw text changes.
Why this way: Reviewers need to verify requested corrections while trusting that locked sections did not change.
Signature differentiator: Tamper-evident scope rail separates expected changes, unexpected changes and unchanged locked content.
Outlier/hard case: Evidence added/removed, incompatible package, reordered sections and changed metadata without changed answer.
INFLUENCE AND ORIGINALITY
Study references R01, R02, R11, R12 in the pack’s Reference Library. Adopt this principle: Enterprise comparison patterns adapted to selective-unlock inspection versions. Explicitly reject: No code-diff aesthetic or red/green-only comparison. Saqeel’s DEC-011 tokens, typography, dark/light themes, EN/AR behavior and component grammar remain the visual authority.
MANDATORY OBJECTS
Version selectors; returned-scope summary; changed-section nav; field diff; evidence diff; comments; metadata; unexpected-change alert; accept navigation.
Mandatory states: No prior version; compatible; unexpected locked change; missing evidence; incompatible package; service degraded.
Blind spots to resolve visibly: Non-color diff; media comparison; package-version semantics; current route consolidates compare mode.
Art direction: Make correction verification faster than re-reading the whole report while preserving audit confidence.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CD-030_SCR-WEB-320_primary.png and CD-030_SCR-WEB-320_outlier.png.
DETERMINISTIC DESIGN-TO-CODE REPLACEMENT CONTRACT
The repository-derived candidate file inventory is: apps/web/src/app/reviews/[id]/DecisionPanel.tsx; apps/web/src/app/reviews/[id]/actions.ts; apps/web/src/app/reviews/[id]/page.tsx.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IMPLEMENTATION_MANIFEST_CD-030.yaml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COMPONENT_MAP_CD-030.csv mapping each design component/state to the existing or proposed code component and CSS selector/token; (C) CLAUDE_CODE_HANDOFF_CD-030.md with the controlled application order: semantic tokens → approved assets → shared components → route composition → localization → tests/evidence; and (D) ACCEPTANCE_CHECKLIST_CD-030.md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CD-030
Priority: immediate Web build wave, before Admin. Acceptance: DSG-025; DSG-A11Y-001.
Required research set: R17, R18, R19, R24.
Composition challenge: Design a semantic scope rail that distinguishes expected returned-scope changes, unexpected locked changes and unchanged context without red/green-only encoding. Do not claim media/package diffs beyond the data actually available.
Repository/runtime truth to reconcile: Current comparison is primarily answer-snapshot rows. Evidence/media/package semantic diff and already-locked change detection must remain blocked unless supported by runtime data.
Required vertical chain: version query → returned-scope rule → semantic diff derivation → non-color presentation → immutable-data and unexpected-change tests
The design handoff must label unsupported controls or data as HANDOFF_BLOCKED and must not turn a visual approval into an implementation claim.
SHARED SHELL CONTRACT V3 — MANDATORY
Shell family: Shared Web/Operations shell V1.
Tab/placement: Review &amp; Approval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0" ht="210" customHeight="1">
      <x:c r="A20" s="12" t="n">
        <x:v>15</x:v>
      </x:c>
      <x:c r="B20" s="12" t="str">
        <x:v>B3 — WEB-II review and Factory 360 · NEXT</x:v>
      </x:c>
      <x:c r="C20" s="12" t="str">
        <x:v>CD-031</x:v>
      </x:c>
      <x:c r="D20" s="12" t="str">
        <x:v>SCR-WEB-400</x:v>
      </x:c>
      <x:c r="E20" s="12" t="str">
        <x:v>Web — Factory</x:v>
      </x:c>
      <x:c r="F20" s="12" t="str">
        <x:v>Factory 360</x:v>
      </x:c>
      <x:c r="G20" s="12" t="str">
        <x:v>/factories/:id</x:v>
      </x:c>
      <x:c r="H20" s="12" t="str">
        <x:v>apps/web/src/app/factories/[id]</x:v>
      </x:c>
      <x:c r="I20" s="12" t="str">
        <x:v>Low</x:v>
      </x:c>
      <x:c r="J20" s="12" t="str">
        <x:v>CLAUDE DESIGN SCREEN PROMPT — CD-031 / SCR-WEB-400
You are designing Factory 360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factories/[id]/page.tsx/actions.ts; SCR-WEB-400; SB11. Inspect the existing implementation at apps/web/src/app/factories/[id]. Record branch, commit and dirty-worktree state. Do not design from screenshots alone.
CONTRACT
Screen: SCR-WEB-400. Route/mode: /factories/:id. Persona: Planner; Inspector; Reviewer; Operations; Leadership. Journey: P12. Engines: ENG-04, ENG-06, ENG-07, ENG-08, ENG-09, ENG-12. User job: Build a trusted understanding of one factory before planning, inspecting or deciding. Requirements: Filter the 493-row acceptance ledger and 478-row traceability by this screen and journey; preserve every matched row.
DESIGN THESIS
A resilient industrial dossier combining identity, spatial truth, risk drivers, inspection history, findings, actions and documents.
Why this way: Factory context is fragmented across registries, inspections and maps; decisions need one explainable narrative.
Signature differentiator: Spatial case timeline connects factory location, inspection events, evidence, decisions and risk recalculation.
Outlier/hard case: Subservice degraded, stale registry, conflicting coordinates, masked data and no inspection history.
INFLUENCE AND ORIGINALITY
Study references R01, R02, R07, R09, R11 in the pack’s Reference Library. Adopt this principle: Field Maps asset context, ArcGIS coordinated spatial views and Fiori object-page structure. Explicitly reject: No CRM 360 card wall or decorative risk gauge. Saqeel’s DEC-011 tokens, typography, dark/light themes, EN/AR behavior and component grammar remain the visual authority.
MANDATORY OBJECTS
Identity/license/CR; provenance; map/boundary; risk drivers; history cycles; findings/actions; documents; timeline; service freshness; role-masked sections.
Mandatory states: Complete; no history; stale source; map unavailable; one service failed; unauthorized section; high risk.
Blind spots to resolve visibly: Partial-service isolation; risk version; registry freshness; privacy; map boundary authority; leadership may need aggregation, not edits.
Art direction: Flagship dossier. Tell a coherent industrial compliance history without overwhelming the user.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CD-031_SCR-WEB-400_primary.png and CD-031_SCR-WEB-400_outlier.png.
DETERMINISTIC DESIGN-TO-CODE REPLACEMENT CONTRACT
The repository-derived candidate file inventory is: apps/web/src/app/factories/[id]/Controls.tsx; apps/web/src/app/factories/[id]/actions.ts; apps/web/src/app/factories/[id]/loading.tsx; apps/web/src/app/factories/[id]/page.tsx.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IMPLEMENTATION_MANIFEST_CD-031.yaml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COMPONENT_MAP_CD-031.csv mapping each design component/state to the existing or proposed code component and CSS selector/token; (C) CLAUDE_CODE_HANDOFF_CD-031.md with the controlled application order: semantic tokens → approved assets → shared components → route composition → localization → tests/evidence; and (D) ACCEPTANCE_CHECKLIST_CD-031.md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WEB-FIRST CHALLENGE — CD-031
Priority: immediate Web build wave, before Admin. Acceptance: DSG-026; DSG-A11Y-001.
Required research set: R16, R17, R19, R21.
Composition challenge: Create a provenance- and freshness-led factory dossier with a spatial case timeline, not a CRM ‘360’ wall. Missing licence, legal, map, risk and timeline fields must be marked unavailable or handoff-blocked, never fabricated.
Repository/runtime truth to reconcile: Factory reads and supporting document/representative/product/material actions exist. Acceptance ledger still records partial licence, legal, map, risk, timeline and role-visibility coverage.
Required vertical chain: factory identity query → role-masked joined history → documents/representatives/products/materials actions → storage/RLS/audit → missing-data and unauthorized tests
The design handoff must label unsupported controls or data as HANDOFF_BLOCKED and must not turn a visual approval into an implementation claim.
SHARED SHELL CONTRACT V3 — MANDATORY
Shell family: Shared Web/Operations shell V1.
Tab/placement: Factory 360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1" ht="210" customHeight="1">
      <x:c r="A21" s="12" t="n">
        <x:v>16</x:v>
      </x:c>
      <x:c r="B21" s="12" t="str">
        <x:v>B4 — Operations control</x:v>
      </x:c>
      <x:c r="C21" s="12" t="str">
        <x:v>CD-032</x:v>
      </x:c>
      <x:c r="D21" s="12" t="str">
        <x:v>SCR-WEB-500</x:v>
      </x:c>
      <x:c r="E21" s="12" t="str">
        <x:v>Operations</x:v>
      </x:c>
      <x:c r="F21" s="12" t="str">
        <x:v>Operations Center and authenticated map</x:v>
      </x:c>
      <x:c r="G21" s="12" t="str">
        <x:v>/operations; /operations/live</x:v>
      </x:c>
      <x:c r="H21" s="12" t="str">
        <x:v>apps/web/src/app/operations</x:v>
      </x:c>
      <x:c r="I21" s="12" t="str">
        <x:v>Low</x:v>
      </x:c>
      <x:c r="J21" s="12" t="str">
        <x:v>CLAUDE DESIGN SCREEN PROMPT — CD-032 / SCR-WEB-500
You are designing Operations Center and authenticated map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operations/page.tsx; operations/live; AuthenticatedLiveMap; UX-BS-003/007/017. Inspect the existing implementation at apps/web/src/app/operations. Record branch, commit and dirty-worktree state. Do not design from screenshots alone.
CONTRACT
Screen: SCR-WEB-500. Route/mode: /operations; /operations/live. Persona: Operations; Supervisor; Leadership. Journey: P12. Engines: ENG-03, ENG-04, ENG-06, ENG-08, ENG-09, ENG-11, ENG-12. User job: See what needs attention now, understand why, and resolve exceptions without losing geographic context. Requirements: Filter the 493-row acceptance ledger and 478-row traceability by this screen and journey; preserve every matched row.
DESIGN THESIS
An attended command workspace where map, SLA queue, alerts, workload and corrective actions filter one another.
Why this way: A command center fails if it is merely cinematic. Every signal needs source, freshness, scope and an action.
Signature differentiator: Truth-layer switch separates Published plan, Projected route and future Genuine telemetry; projected movement is permanently labeled.
Outlier/hard case: Stale telemetry, provider failure, centroid circles, partial widget fault, privacy scope and alert storms.
INFLUENCE AND ORIGINALITY
Study references R01, R02, R06, R09, R12 in the pack’s Reference Library. Adopt this principle: ArcGIS coordinated dashboards and Dynamics dispatch context, governed by Saqeel truth labels. Explicitly reject: No NASA-style wall, invented live GPS, or map that dominates without actionable lists. Saqeel’s DEC-011 tokens, typography, dark/light themes, EN/AR behavior and component grammar remain the visual authority.
MANDATORY OBJECTS
Operational KPIs; KSA map; layer/legend; monitored visits; SLA watch; alerts; workload; corrective actions; provider/freshness; selected visit drawer; export.
Mandatory states: Normal; projected; genuine-live future; stale; widget failure; tile failure; no visits; privacy-limited; alert resolved.
Blind spots to resolve visibly: Current routes are projected; region zones are approximate; notifications provider pending; avoid over-tracking inspectors.
Art direction: Flagship operations screen. Premium means truthful, synchronized and actionable—not visually loud.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CD-032_SCR-WEB-500_primary.png and CD-032_SCR-WEB-500_outlier.png.
DETERMINISTIC DESIGN-TO-CODE REPLACEMENT CONTRACT
The repository-derived candidate file inventory is: apps/web/src/app/operations/Controls.tsx; apps/web/src/app/operations/Monitoring.tsx; apps/web/src/app/operations/OpsExport.tsx; apps/web/src/app/operations/OpsMap.tsx; apps/web/src/app/operations/actions.ts; apps/web/src/app/operations/live/LiveMapInner.tsx; apps/web/src/app/operations/live/LiveOps.tsx; apps/web/src/app/operations/live/page.tsx; apps/web/src/app/operations/live/types.ts; apps/web/src/app/operations/loading.tsx; apps/web/src/app/operations/page.tsx.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IMPLEMENTATION_MANIFEST_CD-032.yaml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COMPONENT_MAP_CD-032.csv mapping each design component/state to the existing or proposed code component and CSS selector/token; (C) CLAUDE_CODE_HANDOFF_CD-032.md with the controlled application order: semantic tokens → approved assets → shared components → route composition → localization → tests/evidence; and (D) ACCEPTANCE_CHECKLIST_CD-032.md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Web/Operations shell V1.
Tab/placement: Dashboard / Operations Center · reuse TASK-WEB-SHELL-001 exactly; design page content and page-specific filters only.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2" ht="210" customHeight="1">
      <x:c r="A22" s="12" t="n">
        <x:v>17</x:v>
      </x:c>
      <x:c r="B22" s="12" t="str">
        <x:v>B5A — Admin governance · DEFERRED</x:v>
      </x:c>
      <x:c r="C22" s="12" t="str">
        <x:v>CD-004</x:v>
      </x:c>
      <x:c r="D22" s="12" t="str">
        <x:v>SCR-ADM-001</x:v>
      </x:c>
      <x:c r="E22" s="12" t="str">
        <x:v>Admin</x:v>
      </x:c>
      <x:c r="F22" s="12" t="str">
        <x:v>Admin control-plane home</x:v>
      </x:c>
      <x:c r="G22" s="12" t="str">
        <x:v>/admin</x:v>
      </x:c>
      <x:c r="H22" s="12" t="str">
        <x:v>apps/web/src/app/admin/page.tsx</x:v>
      </x:c>
      <x:c r="I22" s="12" t="str">
        <x:v>Low</x:v>
      </x:c>
      <x:c r="J22" s="12" t="str">
        <x:v>CLAUDE DESIGN SCREEN PROMPT — CD-004 / SCR-ADM-001
You are designing Admin control-plane home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admin/page.tsx; engine_settings; SCR-ADM-001; SB03/SB18. Inspect the existing implementation at apps/web/src/app/admin/page.tsx. Record branch, commit and dirty-worktree state. Do not design from screenshots alone.
CONTRACT
Screen: SCR-ADM-001. Route/mode: /admin. Persona: Compliance, Business and Technical Admin. Journey: P00. Engines: ENG-01..ENG-12. User job: Know what is healthy, what is draft, what is blocked and what needs approval before runtime is affected. Requirements: Filter the 493-row acceptance ledger and 478-row traceability by this screen and journey; preserve every matched row.
DESIGN THESIS
A configuration command center organized around governance lifecycle rather than module shortcuts.
Why this way: Admin engines are control planes. Counts alone cannot reveal dependency risk, unpublished change, approval debt or runtime consumption.
Signature differentiator: A ‘configuration health spine’ links Draft → Validate → Approve → Publish → Runtime evidence across all engines.
Outlier/hard case: One broken or stale engine must be isolated without implying the entire platform is down.
INFLUENCE AND ORIGINALITY
Study references R01, R02, R09, R11, R12 in the pack’s Reference Library. Adopt this principle: ArcGIS operational attention hierarchy plus Fiori role overview and Carbon status discipline. Explicitly reject: No generic KPI-card dashboard or wall of equal tiles. Saqeel’s DEC-011 tokens, typography, dark/light themes, EN/AR behavior and component grammar remain the visual authority.
MANDATORY OBJECTS
Health summary; pending approvals; publish blockers; runtime version map; dependency warnings; recent audit; engine ownership; direct actions.
Mandatory states: Healthy; drafts pending; approval overdue; publish blocked; degraded service; unauthorized; empty new environment.
Blind spots to resolve visibly: Current page shows counts but not approval/dependency health; notification/SLA lacks dedicated route; freshness must be visible.
Art direction: Make the first screen answer ‘what can harm tomorrow’s inspections?’ in under 30 seconds.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CD-004_SCR-ADM-001_primary.png and CD-004_SCR-ADM-001_outlier.png.
DETERMINISTIC DESIGN-TO-CODE REPLACEMENT CONTRACT
The repository-derived candidate file inventory is: apps/web/src/app/admin/page.tsx.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IMPLEMENTATION_MANIFEST_CD-004.yaml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COMPONENT_MAP_CD-004.csv mapping each design component/state to the existing or proposed code component and CSS selector/token; (C) CLAUDE_CODE_HANDOFF_CD-004.md with the controlled application order: semantic tokens → approved assets → shared components → route composition → localization → tests/evidence; and (D) ACCEPTANCE_CHECKLIST_CD-004.md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Approval &amp; Configuration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3" ht="210" customHeight="1">
      <x:c r="A23" s="12" t="n">
        <x:v>18</x:v>
      </x:c>
      <x:c r="B23" s="12" t="str">
        <x:v>B5A — Admin governance · DEFERRED</x:v>
      </x:c>
      <x:c r="C23" s="12" t="str">
        <x:v>CD-005</x:v>
      </x:c>
      <x:c r="D23" s="12" t="str">
        <x:v>SCR-ADM-010</x:v>
      </x:c>
      <x:c r="E23" s="12" t="str">
        <x:v>Admin</x:v>
      </x:c>
      <x:c r="F23" s="12" t="str">
        <x:v>Regulation library</x:v>
      </x:c>
      <x:c r="G23" s="12" t="str">
        <x:v>/admin/regulations</x:v>
      </x:c>
      <x:c r="H23" s="12" t="str">
        <x:v>apps/web/src/app/admin/regulations</x:v>
      </x:c>
      <x:c r="I23" s="12" t="str">
        <x:v>Low</x:v>
      </x:c>
      <x:c r="J23" s="12" t="str">
        <x:v>CLAUDE DESIGN SCREEN PROMPT — CD-005 / SCR-ADM-010
You are designing Regulation library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admin/regulations/page.tsx; actions.ts; SCR-ADM-010; field_dictionary.csv. Inspect the existing implementation at apps/web/src/app/admin/regulations. Record branch, commit and dirty-worktree state. Do not design from screenshots alone.
CONTRACT
Screen: SCR-ADM-010. Route/mode: /admin/regulations. Persona: Compliance Admin. Journey: P00. Engines: ENG-01, ENG-12. User job: Find, compare and govern regulations by lifecycle, applicability and effective date. Requirements: Filter the 493-row acceptance ledger and 478-row traceability by this screen and journey; preserve every matched row.
DESIGN THESIS
A legal-content library where version status and downstream impact are more prominent than edit controls.
Why this way: A regulation is not a row; it is the source of clauses, questions, violations and reports.
Signature differentiator: Each regulation exposes an impact footprint before it is opened: mapped items, packages, active inspections and future effective date.
Outlier/hard case: Overlapping effective dates, orphan clauses and superseded versions must be obvious.
INFLUENCE AND ORIGINALITY
Study references R01, R02, R11, R12 in the pack’s Reference Library. Adopt this principle: Fiori list-report clarity and Carbon dense-table accessibility, adapted to regulatory provenance. Explicitly reject: No spreadsheet-like CRUD grid or unexplained legal badges. Saqeel’s DEC-011 tokens, typography, dark/light themes, EN/AR behavior and component grammar remain the visual authority.
MANDATORY OBJECTS
Search/filter; lifecycle tabs; owner; effective dates; source provenance; impact count; version; create draft; validation markers.
Mandatory states: No records; loading; filtered empty; invalid dates; publish blocked; published locked; unauthorized.
Blind spots to resolve visibly: Legal text may be long and bilingual; list must not imply editing a published record; impact counts need source timestamps.
Art direction: Prioritize lifecycle and impact. Use dense rows with expandable provenance, not oversized cards.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CD-005_SCR-ADM-010_primary.png and CD-005_SCR-ADM-010_outlier.png.
DETERMINISTIC DESIGN-TO-CODE REPLACEMENT CONTRACT
The repository-derived candidate file inventory is: apps/web/src/app/admin/regulations/Controls.tsx; apps/web/src/app/admin/regulations/actions.ts; apps/web/src/app/admin/regulations/page.tsx.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IMPLEMENTATION_MANIFEST_CD-005.yaml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COMPONENT_MAP_CD-005.csv mapping each design component/state to the existing or proposed code component and CSS selector/token; (C) CLAUDE_CODE_HANDOFF_CD-005.md with the controlled application order: semantic tokens → approved assets → shared components → route composition → localization → tests/evidence; and (D) ACCEPTANCE_CHECKLIST_CD-005.md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Compliance Library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4" ht="210" customHeight="1">
      <x:c r="A24" s="12" t="n">
        <x:v>19</x:v>
      </x:c>
      <x:c r="B24" s="12" t="str">
        <x:v>B5A — Admin governance · DEFERRED</x:v>
      </x:c>
      <x:c r="C24" s="12" t="str">
        <x:v>CD-006</x:v>
      </x:c>
      <x:c r="D24" s="12" t="str">
        <x:v>SCR-ADM-011</x:v>
      </x:c>
      <x:c r="E24" s="12" t="str">
        <x:v>Admin</x:v>
      </x:c>
      <x:c r="F24" s="12" t="str">
        <x:v>Regulation detail and version</x:v>
      </x:c>
      <x:c r="G24" s="12" t="str">
        <x:v>/admin/regulations (detail mode)</x:v>
      </x:c>
      <x:c r="H24" s="12" t="str">
        <x:v>apps/web/src/app/admin/regulations</x:v>
      </x:c>
      <x:c r="I24" s="12" t="str">
        <x:v>Low</x:v>
      </x:c>
      <x:c r="J24" s="12" t="str">
        <x:v>CLAUDE DESIGN SCREEN PROMPT — CD-006 / SCR-ADM-011
You are designing Regulation detail and version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regulations page/actions; state_transitions.csv; rbac_matrix.csv. Inspect the existing implementation at apps/web/src/app/admin/regulations. Record branch, commit and dirty-worktree state. Do not design from screenshots alone.
CONTRACT
Screen: SCR-ADM-011. Route/mode: /admin/regulations (detail mode). Persona: Compliance Admin; Approver. Journey: P00. Engines: ENG-01, ENG-12. User job: Edit a draft, understand dependencies, compare versions and publish safely. Requirements: Filter the 493-row acceptance ledger and 478-row traceability by this screen and journey; preserve every matched row.
DESIGN THESIS
A document dossier with a persistent lifecycle rail and an immutable published-version boundary.
Why this way: The highest-risk action is not editing text; it is changing the meaning consumed by future inspections.
Signature differentiator: Clause-to-runtime trace: regulation clause → inspection item → package → evidence/violation/report.
Outlier/hard case: A published version is locked while a successor draft may coexist; reviewers need side-by-side meaning changes.
INFLUENCE AND ORIGINALITY
Study references R01, R02, R10, R11 in the pack’s Reference Library. Adopt this principle: Fiori object page plus Camunda-like governed publish confidence. Explicitly reject: No word-processor clone or hidden dependency drawer. Saqeel’s DEC-011 tokens, typography, dark/light themes, EN/AR behavior and component grammar remain the visual authority.
MANDATORY OBJECTS
Metadata header; clause navigator; applicability; legal reference; version compare; dependency map; audit timeline; validate/submit/approve/publish.
Mandatory states: Draft; validation errors; submitted; approved; published locked; superseded; dependency conflict.
Blind spots to resolve visibly: Bilingual clause display and long legal text; maker-checker role; unresolved mappings must block publish.
Art direction: Keep the legal document readable while making lifecycle and downstream impact impossible to miss.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CD-006_SCR-ADM-011_primary.png and CD-006_SCR-ADM-011_outlier.png.
DETERMINISTIC DESIGN-TO-CODE REPLACEMENT CONTRACT
The repository-derived candidate file inventory is: apps/web/src/app/admin/regulations/Controls.tsx; apps/web/src/app/admin/regulations/actions.ts; apps/web/src/app/admin/regulations/page.tsx.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IMPLEMENTATION_MANIFEST_CD-006.yaml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COMPONENT_MAP_CD-006.csv mapping each design component/state to the existing or proposed code component and CSS selector/token; (C) CLAUDE_CODE_HANDOFF_CD-006.md with the controlled application order: semantic tokens → approved assets → shared components → route composition → localization → tests/evidence; and (D) ACCEPTANCE_CHECKLIST_CD-006.md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Compliance Library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5" ht="210" customHeight="1">
      <x:c r="A25" s="12" t="n">
        <x:v>20</x:v>
      </x:c>
      <x:c r="B25" s="12" t="str">
        <x:v>B5A — Admin governance · DEFERRED</x:v>
      </x:c>
      <x:c r="C25" s="12" t="str">
        <x:v>CD-007</x:v>
      </x:c>
      <x:c r="D25" s="12" t="str">
        <x:v>SCR-ADM-020</x:v>
      </x:c>
      <x:c r="E25" s="12" t="str">
        <x:v>Admin</x:v>
      </x:c>
      <x:c r="F25" s="12" t="str">
        <x:v>Inspection item catalogue</x:v>
      </x:c>
      <x:c r="G25" s="12" t="str">
        <x:v>/admin/items</x:v>
      </x:c>
      <x:c r="H25" s="12" t="str">
        <x:v>apps/web/src/app/admin/items</x:v>
      </x:c>
      <x:c r="I25" s="12" t="str">
        <x:v>Low</x:v>
      </x:c>
      <x:c r="J25" s="12" t="str">
        <x:v>CLAUDE DESIGN SCREEN PROMPT — CD-007 / SCR-ADM-020
You are designing Inspection item catalogue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admin/items/page.tsx; actions.ts; package components; SCR-ADM-020. Inspect the existing implementation at apps/web/src/app/admin/items. Record branch, commit and dirty-worktree state. Do not design from screenshots alone.
CONTRACT
Screen: SCR-ADM-020. Route/mode: /admin/items. Persona: Compliance Admin; Form Admin. Journey: P00. Engines: ENG-01, ENG-02, ENG-07. User job: Define reusable inspection questions with unambiguous runtime meaning. Requirements: Filter the 493-row acceptance ledger and 478-row traceability by this screen and journey; preserve every matched row.
DESIGN THESIS
A semantic component catalogue: response type, requirement rule, evidence, scoring and clause linkage are visible together.
Why this way: Questions that look similar can behave differently in the field; the catalogue must prevent semantic ambiguity.
Signature differentiator: A compact ‘runtime preview strip’ shows how the item behaves on iPad and what finding/evidence it can trigger.
Outlier/hard case: Conditional items, duplicate codes and response meanings that change across versions.
INFLUENCE AND ORIGINALITY
Study references R01, R02, R03, R07, R11, R12 in the pack’s Reference Library. Adopt this principle: SafetyCulture form semantics, Field Maps form configuration and enterprise catalogue patterns. Explicitly reject: No generic survey builder or template marketplace look. Saqeel’s DEC-011 tokens, typography, dark/light themes, EN/AR behavior and component grammar remain the visual authority.
MANDATORY OBJECTS
Item code/title; clause; response model; required/conditional rule; evidence; scoring; guidance; usage count; runtime preview.
Mandatory states: Empty; duplicate; invalid mapping; conditional rule error; deactivated; published-use warning.
Blind spots to resolve visibly: Changing a reused item can affect multiple packages; Arabic guidance length; evidence policy must come from configuration.
Art direction: Make meaning and reuse risk the visual center, not the create-item form.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CD-007_SCR-ADM-020_primary.png and CD-007_SCR-ADM-020_outlier.png.
DETERMINISTIC DESIGN-TO-CODE REPLACEMENT CONTRACT
The repository-derived candidate file inventory is: apps/web/src/app/admin/items/Controls.tsx; apps/web/src/app/admin/items/actions.ts; apps/web/src/app/admin/items/page.tsx.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IMPLEMENTATION_MANIFEST_CD-007.yaml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COMPONENT_MAP_CD-007.csv mapping each design component/state to the existing or proposed code component and CSS selector/token; (C) CLAUDE_CODE_HANDOFF_CD-007.md with the controlled application order: semantic tokens → approved assets → shared components → route composition → localization → tests/evidence; and (D) ACCEPTANCE_CHECKLIST_CD-007.md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Administration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6" ht="210" customHeight="1">
      <x:c r="A26" s="12" t="n">
        <x:v>21</x:v>
      </x:c>
      <x:c r="B26" s="12" t="str">
        <x:v>B5B — Admin studios · DEFERRED</x:v>
      </x:c>
      <x:c r="C26" s="12" t="str">
        <x:v>CD-008</x:v>
      </x:c>
      <x:c r="D26" s="12" t="str">
        <x:v>SCR-ADM-030</x:v>
      </x:c>
      <x:c r="E26" s="12" t="str">
        <x:v>Admin</x:v>
      </x:c>
      <x:c r="F26" s="12" t="str">
        <x:v>Package library</x:v>
      </x:c>
      <x:c r="G26" s="12" t="str">
        <x:v>/admin/packages</x:v>
      </x:c>
      <x:c r="H26" s="12" t="str">
        <x:v>apps/web/src/app/admin/packages</x:v>
      </x:c>
      <x:c r="I26" s="12" t="str">
        <x:v>Low</x:v>
      </x:c>
      <x:c r="J26" s="12" t="str">
        <x:v>CLAUDE DESIGN SCREEN PROMPT — CD-008 / SCR-ADM-030
You are designing Package library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admin/packages/page.tsx; package_versions; SCR-ADM-030. Inspect the existing implementation at apps/web/src/app/admin/packages. Record branch, commit and dirty-worktree state. Do not design from screenshots alone.
CONTRACT
Screen: SCR-ADM-030. Route/mode: /admin/packages. Persona: Form Admin; Compliance Admin. Journey: P00. Engines: ENG-02, ENG-12. User job: Find the right package version and know whether it is safe for use. Requirements: Filter the 493-row acceptance ledger and 478-row traceability by this screen and journey; preserve every matched row.
DESIGN THESIS
A versioned product library where coverage, dependencies and effective scope lead the hierarchy.
Why this way: Planners and inspectors depend on the published package version; a package name alone is insufficient.
Signature differentiator: Coverage fingerprint summarizes sections, items, evidence rules, activities and unresolved dependencies.
Outlier/hard case: Old inspections must remain pinned to old package versions while new visits use the new version.
INFLUENCE AND ORIGINALITY
Study references R01, R02, R11, R12 in the pack’s Reference Library. Adopt this principle: Fiori list/object pairing and Carbon expandable data rows. Explicitly reject: No card marketplace or static template gallery. Saqeel’s DEC-011 tokens, typography, dark/light themes, EN/AR behavior and component grammar remain the visual authority.
MANDATORY OBJECTS
Package/version; scope; status; effective date; dependency health; usage count; coverage fingerprint; clone/preview/validate/publish.
Mandatory states: No package; draft; submitted; published; superseded; unresolved item; active dependency.
Blind spots to resolve visibly: Version immutability and effective-date overlap; preview must match field runtime; package size/offline footprint.
Art direction: Treat each package as a deployable governed artifact with visible consumers.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CD-008_SCR-ADM-030_primary.png and CD-008_SCR-ADM-030_outlier.png.
DETERMINISTIC DESIGN-TO-CODE REPLACEMENT CONTRACT
The repository-derived candidate file inventory is: apps/web/src/app/admin/packages/DraftEditor.tsx; apps/web/src/app/admin/packages/ImpactPanel.tsx; apps/web/src/app/admin/packages/PackagePreview.tsx; apps/web/src/app/admin/packages/PublishControls.tsx; apps/web/src/app/admin/packages/actions.ts; apps/web/src/app/admin/packages/page.tsx.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IMPLEMENTATION_MANIFEST_CD-008.yaml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COMPONENT_MAP_CD-008.csv mapping each design component/state to the existing or proposed code component and CSS selector/token; (C) CLAUDE_CODE_HANDOFF_CD-008.md with the controlled application order: semantic tokens → approved assets → shared components → route composition → localization → tests/evidence; and (D) ACCEPTANCE_CHECKLIST_CD-008.md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Packages &amp; Surveys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7" ht="210" customHeight="1">
      <x:c r="A27" s="12" t="n">
        <x:v>22</x:v>
      </x:c>
      <x:c r="B27" s="12" t="str">
        <x:v>B5B — Admin studios · DEFERRED</x:v>
      </x:c>
      <x:c r="C27" s="12" t="str">
        <x:v>CD-009</x:v>
      </x:c>
      <x:c r="D27" s="12" t="str">
        <x:v>SCR-ADM-031</x:v>
      </x:c>
      <x:c r="E27" s="12" t="str">
        <x:v>Admin</x:v>
      </x:c>
      <x:c r="F27" s="12" t="str">
        <x:v>Package and form designer</x:v>
      </x:c>
      <x:c r="G27" s="12" t="str">
        <x:v>/admin/packages (designer mode)</x:v>
      </x:c>
      <x:c r="H27" s="12" t="str">
        <x:v>apps/web/src/app/admin/packages</x:v>
      </x:c>
      <x:c r="I27" s="12" t="str">
        <x:v>Low</x:v>
      </x:c>
      <x:c r="J27" s="12" t="str">
        <x:v>CLAUDE DESIGN SCREEN PROMPT — CD-009 / SCR-ADM-031
You are designing Package and form designer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PackageEditor.tsx; PackagePreview.tsx; DraftEditor/ImpactPanel/PublishControls; SCR-ADM-031. Inspect the existing implementation at apps/web/src/app/admin/packages. Record branch, commit and dirty-worktree state. Do not design from screenshots alone.
CONTRACT
Screen: SCR-ADM-031. Route/mode: /admin/packages (designer mode). Persona: Form Admin. Journey: P00. Engines: ENG-01, ENG-02, ENG-07, ENG-08. User job: Compose sections, rules, evidence and actions, then prove the package behaves correctly. Requirements: Filter the 493-row acceptance ledger and 478-row traceability by this screen and journey; preserve every matched row.
DESIGN THESIS
A three-pane studio—structure, field canvas, rule inspector—with an always-visible validation and runtime preview contract.
Why this way: A constrained builder must expose logic and downstream consequences without becoming an ungoverned no-code platform.
Signature differentiator: ‘Inspection consequence preview’ shows not only the question but the evidence, violation, action and review outcome it can produce.
Outlier/hard case: Circular conditions, hidden mandatory items, inaccessible field layouts and rules that work online but not offline.
INFLUENCE AND ORIGINALITY
Study references R01, R02, R03, R07, R10, R11 in the pack’s Reference Library. Adopt this principle: SafetyCulture inspection authoring, Field Maps form configuration and Camunda test-before-deploy discipline. Explicitly reject: No drag-anything canvas, BPMN palette, or consumer-form aesthetic. Saqeel’s DEC-011 tokens, typography, dark/light themes, EN/AR behavior and component grammar remain the visual authority.
MANDATORY OBJECTS
Section tree; item canvas; inspector; condition builder; evidence rule; action trigger; bilingual preview; simulation; validation; impact; publish controls.
Mandatory states: Clean draft; unsaved; validation errors; circular logic; preview; test pass/fail; submitted; published locked.
Blind spots to resolve visibly: Keyboard reordering; RTL preview; offline behavior; dependency impact; one screen can become too dense without focus mode.
Art direction: This is a flagship differentiator. Make complex configuration feel controlled, explainable and testable.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CD-009_SCR-ADM-031_primary.png and CD-009_SCR-ADM-031_outlier.png.
DETERMINISTIC DESIGN-TO-CODE REPLACEMENT CONTRACT
The repository-derived candidate file inventory is: apps/web/src/app/admin/packages/DraftEditor.tsx; apps/web/src/app/admin/packages/ImpactPanel.tsx; apps/web/src/app/admin/packages/PackagePreview.tsx; apps/web/src/app/admin/packages/PublishControls.tsx; apps/web/src/app/admin/packages/actions.ts; apps/web/src/app/admin/packages/page.tsx.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IMPLEMENTATION_MANIFEST_CD-009.yaml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COMPONENT_MAP_CD-009.csv mapping each design component/state to the existing or proposed code component and CSS selector/token; (C) CLAUDE_CODE_HANDOFF_CD-009.md with the controlled application order: semantic tokens → approved assets → shared components → route composition → localization → tests/evidence; and (D) ACCEPTANCE_CHECKLIST_CD-009.md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Packages &amp; Surveys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8" ht="210" customHeight="1">
      <x:c r="A28" s="12" t="n">
        <x:v>23</x:v>
      </x:c>
      <x:c r="B28" s="12" t="str">
        <x:v>B5A — Admin governance · DEFERRED</x:v>
      </x:c>
      <x:c r="C28" s="12" t="str">
        <x:v>CD-010</x:v>
      </x:c>
      <x:c r="D28" s="12" t="str">
        <x:v>SCR-ADM-040</x:v>
      </x:c>
      <x:c r="E28" s="12" t="str">
        <x:v>Admin</x:v>
      </x:c>
      <x:c r="F28" s="12" t="str">
        <x:v>Violation catalogue</x:v>
      </x:c>
      <x:c r="G28" s="12" t="str">
        <x:v>/admin/violations</x:v>
      </x:c>
      <x:c r="H28" s="12" t="str">
        <x:v>apps/web/src/app/admin/violations</x:v>
      </x:c>
      <x:c r="I28" s="12" t="str">
        <x:v>Low</x:v>
      </x:c>
      <x:c r="J28" s="12" t="str">
        <x:v>CLAUDE DESIGN SCREEN PROMPT — CD-010 / SCR-ADM-040
You are designing Violation catalogue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admin/violations/page.tsx; actions.ts; SCR-ADM-040. Inspect the existing implementation at apps/web/src/app/admin/violations. Record branch, commit and dirty-worktree state. Do not design from screenshots alone.
CONTRACT
Screen: SCR-ADM-040. Route/mode: /admin/violations. Persona: Compliance Admin. Journey: P00. Engines: ENG-08, ENG-12. User job: Govern violation codes, legal anchors, severity and applicability. Requirements: Filter the 493-row acceptance ledger and 478-row traceability by this screen and journey; preserve every matched row.
DESIGN THESIS
A legal taxonomy view where orphaned or overlapping violations surface before operational use.
Why this way: Violations are generated outcomes, not inspector free text; legal basis and version are essential.
Signature differentiator: Each violation displays a trace ribbon from triggering response to legal clause and corrective-action consequence.
Outlier/hard case: Orphan mappings, duplicate codes, deactivation while historical records remain valid.
INFLUENCE AND ORIGINALITY
Study references R01, R02, R04, R11, R12 in the pack’s Reference Library. Adopt this principle: Inspection issue/action continuity with enterprise catalogue discipline. Explicitly reject: No simple severity-colored table that hides legal meaning. Saqeel’s DEC-011 tokens, typography, dark/light themes, EN/AR behavior and component grammar remain the visual authority.
MANDATORY OBJECTS
Code/title; level; category; legal basis; applicability; active dates; trigger mapping; usage count; lifecycle actions.
Mandatory states: Empty; duplicate; orphan; active; future; deactivated; locked by use.
Blind spots to resolve visibly: Severity cannot be communicated by color only; legal basis may be missing; historical references must persist.
Art direction: Use compact, auditable rows with a strong trace drill-in.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CD-010_SCR-ADM-040_primary.png and CD-010_SCR-ADM-040_outlier.png.
DETERMINISTIC DESIGN-TO-CODE REPLACEMENT CONTRACT
The repository-derived candidate file inventory is: apps/web/src/app/admin/violations/Controls.tsx; apps/web/src/app/admin/violations/actions.ts; apps/web/src/app/admin/violations/page.tsx.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IMPLEMENTATION_MANIFEST_CD-010.yaml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COMPONENT_MAP_CD-010.csv mapping each design component/state to the existing or proposed code component and CSS selector/token; (C) CLAUDE_CODE_HANDOFF_CD-010.md with the controlled application order: semantic tokens → approved assets → shared components → route composition → localization → tests/evidence; and (D) ACCEPTANCE_CHECKLIST_CD-010.md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Enforcement Library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29" ht="210" customHeight="1">
      <x:c r="A29" s="12" t="n">
        <x:v>24</x:v>
      </x:c>
      <x:c r="B29" s="12" t="str">
        <x:v>B5A — Admin governance · DEFERRED</x:v>
      </x:c>
      <x:c r="C29" s="12" t="str">
        <x:v>CD-011</x:v>
      </x:c>
      <x:c r="D29" s="12" t="str">
        <x:v>SCR-ADM-041</x:v>
      </x:c>
      <x:c r="E29" s="12" t="str">
        <x:v>Admin</x:v>
      </x:c>
      <x:c r="F29" s="12" t="str">
        <x:v>Penalty mapping</x:v>
      </x:c>
      <x:c r="G29" s="12" t="str">
        <x:v>/admin/violations (penalty mode)</x:v>
      </x:c>
      <x:c r="H29" s="12" t="str">
        <x:v>apps/web/src/app/admin/violations</x:v>
      </x:c>
      <x:c r="I29" s="12" t="str">
        <x:v>Medium</x:v>
      </x:c>
      <x:c r="J29" s="12" t="str">
        <x:v>CLAUDE DESIGN SCREEN PROMPT — CD-011 / SCR-ADM-041
You are designing Penalty mapping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violations page/actions; penalty_mappings; SCR-ADM-041. Inspect the existing implementation at apps/web/src/app/admin/violations. Record branch, commit and dirty-worktree state. Do not design from screenshots alone.
CONTRACT
Screen: SCR-ADM-041. Route/mode: /admin/violations (penalty mode). Persona: Compliance Admin; Approver. Journey: P00. Engines: ENG-08, ENG-12. User job: Map violations to approved penalty records and detect conflicts before publish. Requirements: Filter the 493-row acceptance ledger and 478-row traceability by this screen and journey; preserve every matched row.
DESIGN THESIS
A relationship workspace, not a second catalogue: violation on one side, penalty rule on the other, validation in the middle.
Why this way: Cardinality, ranges, repeat rules and legal anchors create risks invisible in a flat form.
Signature differentiator: Conflict lens highlights overlaps, gaps and repeated-offence escalations with example outcomes.
Outlier/hard case: One-to-one constraints, overlapping effective periods and penalty context that inspectors may view but cannot edit.
INFLUENCE AND ORIGINALITY
Study references R01, R02, R10, R11, R12 in the pack’s Reference Library. Adopt this principle: Decision-model transparency and enterprise relationship management. Explicitly reject: No spreadsheet matrix with unexplained colored cells. Saqeel’s DEC-011 tokens, typography, dark/light themes, EN/AR behavior and component grammar remain the visual authority.
MANDATORY OBJECTS
Violation selector; penalty record; range; repeat rule; cardinality; legal basis; version; examples; validate/publish.
Mandatory states: Unmapped; valid; overlap; missing legal basis; submitted; approved; published locked.
Blind spots to resolve visibly: Do not invent monetary values or legal rules; examples must be configuration-derived; maker-checker.
Art direction: Make conflicts and legal provenance more visible than the mapping controls.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CD-011_SCR-ADM-041_primary.png and CD-011_SCR-ADM-041_outlier.png.
DETERMINISTIC DESIGN-TO-CODE REPLACEMENT CONTRACT
The repository-derived candidate file inventory is: apps/web/src/app/admin/violations/Controls.tsx; apps/web/src/app/admin/violations/actions.ts; apps/web/src/app/admin/violations/page.tsx.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IMPLEMENTATION_MANIFEST_CD-011.yaml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COMPONENT_MAP_CD-011.csv mapping each design component/state to the existing or proposed code component and CSS selector/token; (C) CLAUDE_CODE_HANDOFF_CD-011.md with the controlled application order: semantic tokens → approved assets → shared components → route composition → localization → tests/evidence; and (D) ACCEPTANCE_CHECKLIST_CD-011.md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Enforcement Library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0" ht="210" customHeight="1">
      <x:c r="A30" s="12" t="n">
        <x:v>25</x:v>
      </x:c>
      <x:c r="B30" s="12" t="str">
        <x:v>B5B — Admin studios · DEFERRED</x:v>
      </x:c>
      <x:c r="C30" s="12" t="str">
        <x:v>CD-012</x:v>
      </x:c>
      <x:c r="D30" s="12" t="str">
        <x:v>SCR-ADM-050</x:v>
      </x:c>
      <x:c r="E30" s="12" t="str">
        <x:v>Admin</x:v>
      </x:c>
      <x:c r="F30" s="12" t="str">
        <x:v>Workflow library</x:v>
      </x:c>
      <x:c r="G30" s="12" t="str">
        <x:v>/admin/workflows</x:v>
      </x:c>
      <x:c r="H30" s="12" t="str">
        <x:v>apps/web/src/app/admin/workflows</x:v>
      </x:c>
      <x:c r="I30" s="12" t="str">
        <x:v>Low</x:v>
      </x:c>
      <x:c r="J30" s="12" t="str">
        <x:v>CLAUDE DESIGN SCREEN PROMPT — CD-012 / SCR-ADM-050
You are designing Workflow library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admin/workflows/page.tsx; actions.ts; SCR-ADM-050. Inspect the existing implementation at apps/web/src/app/admin/workflows. Record branch, commit and dirty-worktree state. Do not design from screenshots alone.
CONTRACT
Screen: SCR-ADM-050. Route/mode: /admin/workflows. Persona: Workflow Admin. Journey: P00. Engines: ENG-03, ENG-11, ENG-12. User job: Find workflow definitions and understand version, coverage and validation health. Requirements: Filter the 493-row acceptance ledger and 478-row traceability by this screen and journey; preserve every matched row.
DESIGN THESIS
A deployable-process library showing object, active version, effective date and failed tests.
Why this way: Workflow cannot be reduced to status labels; users need confidence that guards and side effects are valid.
Signature differentiator: Each workflow has a miniature lifecycle signature showing states, terminals, SLA and unresolved paths.
Outlier/hard case: Unreachable states, circular terminal paths and active versions used by in-flight cases.
INFLUENCE AND ORIGINALITY
Study references R01, R02, R10, R11, R12 in the pack’s Reference Library. Adopt this principle: Camunda model governance plus Fiori deployable-object library. Explicitly reject: No BPMN diagram thumbnails as the only summary. Saqeel’s DEC-011 tokens, typography, dark/light themes, EN/AR behavior and component grammar remain the visual authority.
MANDATORY OBJECTS
Workflow/object; version; lifecycle signature; status; effective date; tests; runtime cases; clone/open/publish.
Mandatory states: Empty; draft; test failures; submitted; published; superseded; in-use warning.
Blind spots to resolve visibly: Current route consolidates list and designer; preserve clear mode separation; no direct runtime state mutation.
Art direction: Make workflow health legible before opening the designer.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CD-012_SCR-ADM-050_primary.png and CD-012_SCR-ADM-050_outlier.png.
DETERMINISTIC DESIGN-TO-CODE REPLACEMENT CONTRACT
The repository-derived candidate file inventory is: apps/web/src/app/admin/workflows/Controls.tsx; apps/web/src/app/admin/workflows/actions.ts; apps/web/src/app/admin/workflows/page.tsx.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IMPLEMENTATION_MANIFEST_CD-012.yaml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COMPONENT_MAP_CD-012.csv mapping each design component/state to the existing or proposed code component and CSS selector/token; (C) CLAUDE_CODE_HANDOFF_CD-012.md with the controlled application order: semantic tokens → approved assets → shared components → route composition → localization → tests/evidence; and (D) ACCEPTANCE_CHECKLIST_CD-012.md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Workflow Configuration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1" ht="210" customHeight="1">
      <x:c r="A31" s="12" t="n">
        <x:v>26</x:v>
      </x:c>
      <x:c r="B31" s="12" t="str">
        <x:v>B5B — Admin studios · DEFERRED</x:v>
      </x:c>
      <x:c r="C31" s="12" t="str">
        <x:v>CD-013</x:v>
      </x:c>
      <x:c r="D31" s="12" t="str">
        <x:v>SCR-ADM-051</x:v>
      </x:c>
      <x:c r="E31" s="12" t="str">
        <x:v>Admin</x:v>
      </x:c>
      <x:c r="F31" s="12" t="str">
        <x:v>Workflow designer</x:v>
      </x:c>
      <x:c r="G31" s="12" t="str">
        <x:v>/admin/workflows (designer mode)</x:v>
      </x:c>
      <x:c r="H31" s="12" t="str">
        <x:v>apps/web/src/app/admin/workflows</x:v>
      </x:c>
      <x:c r="I31" s="12" t="str">
        <x:v>Low</x:v>
      </x:c>
      <x:c r="J31" s="12" t="str">
        <x:v>CLAUDE DESIGN SCREEN PROMPT — CD-013 / SCR-ADM-051
You are designing Workflow designer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workflows page/actions; state_transitions.csv; SCR-ADM-051. Inspect the existing implementation at apps/web/src/app/admin/workflows. Record branch, commit and dirty-worktree state. Do not design from screenshots alone.
CONTRACT
Screen: SCR-ADM-051. Route/mode: /admin/workflows (designer mode). Persona: Workflow Admin; Approver. Journey: P00. Engines: ENG-03, ENG-11, ENG-12. User job: Configure and test states, transitions, actors, guards, SLA and side effects. Requirements: Filter the 493-row acceptance ledger and 478-row traceability by this screen and journey; preserve every matched row.
DESIGN THESIS
A state-machine studio with model canvas, transition inspector and scenario simulator sharing one truth.
Why this way: Visual elegance is dangerous if guards, actors and side effects are hidden. The model must be explainable and testable.
Signature differentiator: Scenario replay animates a real inspection case through guards, notifications and audit events before publish.
Outlier/hard case: Unauthorized transitions, returned-scope loops, unreachable states and circular terminal logic.
INFLUENCE AND ORIGINALITY
Study references R01, R02, R10, R11 in the pack’s Reference Library. Adopt this principle: Camunda’s model/test/deploy concept adapted to the accepted Saqeel state machine. Explicitly reject: No generic BPMN editor, free-form diagramming, or direct status-edit tool. Saqeel’s DEC-011 tokens, typography, dark/light themes, EN/AR behavior and component grammar remain the visual authority.
MANDATORY OBJECTS
State canvas; transition panel; actor/guard builder; required fields; side effects; SLA/notification; scenario inputs; test results; impact; publish.
Mandatory states: Draft; invalid edge; unreachable state; failing simulation; passed; submitted; approved; published locked.
Blind spots to resolve visibly: Canvas accessibility; RTL; model versioning; test data; visual graph must not imply unimplemented transition types.
Art direction: Another flagship. Optimize for regulatory confidence, not diagram novelty.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CD-013_SCR-ADM-051_primary.png and CD-013_SCR-ADM-051_outlier.png.
DETERMINISTIC DESIGN-TO-CODE REPLACEMENT CONTRACT
The repository-derived candidate file inventory is: apps/web/src/app/admin/workflows/Controls.tsx; apps/web/src/app/admin/workflows/actions.ts; apps/web/src/app/admin/workflows/page.tsx.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IMPLEMENTATION_MANIFEST_CD-013.yaml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COMPONENT_MAP_CD-013.csv mapping each design component/state to the existing or proposed code component and CSS selector/token; (C) CLAUDE_CODE_HANDOFF_CD-013.md with the controlled application order: semantic tokens → approved assets → shared components → route composition → localization → tests/evidence; and (D) ACCEPTANCE_CHECKLIST_CD-013.md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Workflow Configuration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2" ht="210" customHeight="1">
      <x:c r="A32" s="12" t="n">
        <x:v>27</x:v>
      </x:c>
      <x:c r="B32" s="12" t="str">
        <x:v>B5B — Admin studios · DEFERRED</x:v>
      </x:c>
      <x:c r="C32" s="12" t="str">
        <x:v>CD-014</x:v>
      </x:c>
      <x:c r="D32" s="12" t="str">
        <x:v>SCR-ADM-060</x:v>
      </x:c>
      <x:c r="E32" s="12" t="str">
        <x:v>Admin</x:v>
      </x:c>
      <x:c r="F32" s="12" t="str">
        <x:v>Risk configuration</x:v>
      </x:c>
      <x:c r="G32" s="12" t="str">
        <x:v>/admin/risk</x:v>
      </x:c>
      <x:c r="H32" s="12" t="str">
        <x:v>apps/web/src/app/admin/risk</x:v>
      </x:c>
      <x:c r="I32" s="12" t="str">
        <x:v>Low</x:v>
      </x:c>
      <x:c r="J32" s="12" t="str">
        <x:v>CLAUDE DESIGN SCREEN PROMPT — CD-014 / SCR-ADM-060
You are designing Risk configuration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admin/risk/page.tsx; DEC-001; factories risk fields; SCR-ADM-060. Inspect the existing implementation at apps/web/src/app/admin/risk. Record branch, commit and dirty-worktree state. Do not design from screenshots alone.
CONTRACT
Screen: SCR-ADM-060. Route/mode: /admin/risk. Persona: Risk Owner; Compliance Admin. Journey: P00. Engines: ENG-04, ENG-12. User job: Understand and govern the approved risk model and test its output on representative factories. Requirements: Filter the 493-row acceptance ledger and 478-row traceability by this screen and journey; preserve every matched row.
DESIGN THESIS
A reproducibility workspace: model version, drivers, weights, thresholds, sources and sample calculation on one screen.
Why this way: A decorative risk gauge cannot support targeting or audit. Users must see why a score exists.
Signature differentiator: ‘Why this factory?’ simulation connects input provenance to score, band and planning consequence.
Outlier/hard case: Missing source data, stale inputs, model version changes and threshold-edge factories.
INFLUENCE AND ORIGINALITY
Study references R01, R02, R11, R12 in the pack’s Reference Library. Adopt this principle: Enterprise analytical object-page patterns; internal accepted risk model is the only source of values. Explicitly reject: No black-box AI score, radar chart theatre or invented advanced Risk Studio. Saqeel’s DEC-011 tokens, typography, dark/light themes, EN/AR behavior and component grammar remain the visual authority.
MANDATORY OBJECTS
Version; drivers; weights; thresholds; source freshness; formula reference; sample factory; calculation trace; compare versions; validate/publish.
Mandatory states: Complete; missing source; stale; threshold edge; test pass/fail; draft; published.
Blind spots to resolve visibly: DEC-001 values are interim owner-revisable; avoid implying causal certainty; explain denominator and version.
Art direction: Make risk explainability concrete and calm, with numbers traceable line by line.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CD-014_SCR-ADM-060_primary.png and CD-014_SCR-ADM-060_outlier.png.
DETERMINISTIC DESIGN-TO-CODE REPLACEMENT CONTRACT
The repository-derived candidate file inventory is: apps/web/src/app/admin/risk/actions.ts; apps/web/src/app/admin/risk/page.tsx.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IMPLEMENTATION_MANIFEST_CD-014.yaml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COMPONENT_MAP_CD-014.csv mapping each design component/state to the existing or proposed code component and CSS selector/token; (C) CLAUDE_CODE_HANDOFF_CD-014.md with the controlled application order: semantic tokens → approved assets → shared components → route composition → localization → tests/evidence; and (D) ACCEPTANCE_CHECKLIST_CD-014.md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Risk Configuration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3" ht="210" customHeight="1">
      <x:c r="A33" s="12" t="n">
        <x:v>28</x:v>
      </x:c>
      <x:c r="B33" s="12" t="str">
        <x:v>B5B — Admin studios · DEFERRED</x:v>
      </x:c>
      <x:c r="C33" s="12" t="str">
        <x:v>CD-015</x:v>
      </x:c>
      <x:c r="D33" s="12" t="str">
        <x:v>SCR-ADM-070</x:v>
      </x:c>
      <x:c r="E33" s="12" t="str">
        <x:v>Admin</x:v>
      </x:c>
      <x:c r="F33" s="12" t="str">
        <x:v>GIS and geofence studio</x:v>
      </x:c>
      <x:c r="G33" s="12" t="str">
        <x:v>/admin/gis</x:v>
      </x:c>
      <x:c r="H33" s="12" t="str">
        <x:v>apps/web/src/app/admin/gis</x:v>
      </x:c>
      <x:c r="I33" s="12" t="str">
        <x:v>Low</x:v>
      </x:c>
      <x:c r="J33" s="12" t="str">
        <x:v>CLAUDE DESIGN SCREEN PROMPT — CD-015 / SCR-ADM-070
You are designing GIS and geofence studio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admin/gis/page.tsx; GeoMap.tsx; DEC-002/008; SCR-ADM-070. Inspect the existing implementation at apps/web/src/app/admin/gis. Record branch, commit and dirty-worktree state. Do not design from screenshots alone.
CONTRACT
Screen: SCR-ADM-070. Route/mode: /admin/gis. Persona: GIS Admin; Technical Admin. Journey: P00. Engines: ENG-06, ENG-12. User job: Validate factory locations, geofences and exception policy before field use. Requirements: Filter the 493-row acceptance ledger and 478-row traceability by this screen and journey; preserve every matched row.
DESIGN THESIS
A map-led governed geometry workspace comparing official, geocoded and field-verified truth.
Why this way: A map alone creates false confidence. Source, accuracy, geometry validity and approval status must travel with every location.
Signature differentiator: Location confidence stack shows official point, verified point, boundary, geofence and last field evidence without overwriting provenance.
Outlier/hard case: Invalid polygons, wrong official coordinates, external tiles unavailable and centroid approximations.
INFLUENCE AND ORIGINALITY
Study references R01, R02, R07, R08, R09 in the pack’s Reference Library. Adopt this principle: Field Maps preparation/offline diagnostics and map-linked operational controls. Explicitly reject: No ArcGIS desktop clone or unlabeled choropleth. Saqeel’s DEC-011 tokens, typography, dark/light themes, EN/AR behavior and component grammar remain the visual authority.
MANDATORY OBJECTS
Layer controls; factory search; source points; polygon/radius; accuracy/arrival thresholds; override roles; validation; preview; impact; publish.
Mandatory states: Valid; invalid geometry; missing coordinate; source mismatch; tile unavailable; stale; draft; published.
Blind spots to resolve visibly: Provider abstraction; privacy; attribution; thresholds must come from DEC-002; KSA boundaries need authoritative source.
Art direction: Make uncertainty visible. The premium quality comes from provenance and confidence, not map decoration.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CD-015_SCR-ADM-070_primary.png and CD-015_SCR-ADM-070_outlier.png.
DETERMINISTIC DESIGN-TO-CODE REPLACEMENT CONTRACT
The repository-derived candidate file inventory is: apps/web/src/app/admin/gis/GisStudio.tsx; apps/web/src/app/admin/gis/actions.ts; apps/web/src/app/admin/gis/loading.tsx; apps/web/src/app/admin/gis/page.tsx.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IMPLEMENTATION_MANIFEST_CD-015.yaml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COMPONENT_MAP_CD-015.csv mapping each design component/state to the existing or proposed code component and CSS selector/token; (C) CLAUDE_CODE_HANDOFF_CD-015.md with the controlled application order: semantic tokens → approved assets → shared components → route composition → localization → tests/evidence; and (D) ACCEPTANCE_CHECKLIST_CD-015.md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GIS Configuration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4" ht="210" customHeight="1">
      <x:c r="A34" s="12" t="n">
        <x:v>29</x:v>
      </x:c>
      <x:c r="B34" s="12" t="str">
        <x:v>B5B — Admin studios · DEFERRED</x:v>
      </x:c>
      <x:c r="C34" s="12" t="str">
        <x:v>CD-016</x:v>
      </x:c>
      <x:c r="D34" s="12" t="str">
        <x:v>SCR-ADM-080</x:v>
      </x:c>
      <x:c r="E34" s="12" t="str">
        <x:v>Admin</x:v>
      </x:c>
      <x:c r="F34" s="12" t="str">
        <x:v>Notification and SLA rules</x:v>
      </x:c>
      <x:c r="G34" s="12" t="str">
        <x:v>/admin (current consolidated surface)</x:v>
      </x:c>
      <x:c r="H34" s="12" t="str">
        <x:v>apps/web/src/app/admin/page.tsx; apps/web/src/components/NotificationBell.tsx</x:v>
      </x:c>
      <x:c r="I34" s="12" t="str">
        <x:v>Medium</x:v>
      </x:c>
      <x:c r="J34" s="12" t="str">
        <x:v>CLAUDE DESIGN SCREEN PROMPT — CD-016 / SCR-ADM-080
You are designing Notification and SLA rules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admin/page.tsx; NotificationBell.tsx; DEC-003/007; SCR-ADM-080. Inspect the existing implementation at apps/web/src/app/admin/page.tsx; apps/web/src/components/NotificationBell.tsx. Record branch, commit and dirty-worktree state. Do not design from screenshots alone.
CONTRACT
Screen: SCR-ADM-080. Route/mode: /admin (current consolidated surface). Persona: Business Admin; Technical Admin. Journey: P00. Engines: ENG-11, ENG-12. User job: Configure event, recipient, template, timer and escalation rules and know delivery-provider truth. Requirements: Filter the 493-row acceptance ledger and 478-row traceability by this screen and journey; preserve every matched row.
DESIGN THESIS
An event-to-outcome rule studio where timing, recipients and delivery state are tested before activation.
Why this way: Notifications are operational controls, not message templates. Wrong recipients or silent provider failure can break SLA.
Signature differentiator: A timeline simulator previews reminder, breach and escalation against the accepted work calendar.
Outlier/hard case: Provider unavailable, partial-channel delivery, duplicate notification and paused SLA during correction.
INFLUENCE AND ORIGINALITY
Study references R01, R02, R10, R11, R12 in the pack’s Reference Library. Adopt this principle: Workflow test discipline plus enterprise rule and status patterns. Explicitly reject: No marketing-automation campaign builder. Saqeel’s DEC-011 tokens, typography, dark/light themes, EN/AR behavior and component grammar remain the visual authority.
MANDATORY OBJECTS
Event catalogue; recipient rules; channels; template; work calendar; reminders; escalation; provider status; test; delivery audit; activate.
Mandatory states: Draft; invalid recipient; provider pending; test sent/failed; active; paused; breached; deactivated.
Blind spots to resolve visibly: No dedicated route currently; provider adapters remain open; do not imply outbound delivery works when only outbox is present.
Art direction: Keep provider truth and SLA timeline visible at all times.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CD-016_SCR-ADM-080_primary.png and CD-016_SCR-ADM-080_outlier.png.
DETERMINISTIC DESIGN-TO-CODE REPLACEMENT CONTRACT
The repository-derived candidate file inventory is: apps/web/src/app/admin/page.tsx; apps/web/src/components/NotificationBell.tsx.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IMPLEMENTATION_MANIFEST_CD-016.yaml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COMPONENT_MAP_CD-016.csv mapping each design component/state to the existing or proposed code component and CSS selector/token; (C) CLAUDE_CODE_HANDOFF_CD-016.md with the controlled application order: semantic tokens → approved assets → shared components → route composition → localization → tests/evidence; and (D) ACCEPTANCE_CHECKLIST_CD-016.md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Notification Configuration — HANDOFF_BLOCKED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5" ht="210" customHeight="1">
      <x:c r="A35" s="12" t="n">
        <x:v>30</x:v>
      </x:c>
      <x:c r="B35" s="12" t="str">
        <x:v>B5A — Admin governance · DEFERRED</x:v>
      </x:c>
      <x:c r="C35" s="12" t="str">
        <x:v>CD-017</x:v>
      </x:c>
      <x:c r="D35" s="12" t="str">
        <x:v>SCR-ADM-090</x:v>
      </x:c>
      <x:c r="E35" s="12" t="str">
        <x:v>Admin</x:v>
      </x:c>
      <x:c r="F35" s="12" t="str">
        <x:v>Roles and permissions</x:v>
      </x:c>
      <x:c r="G35" s="12" t="str">
        <x:v>/admin/access</x:v>
      </x:c>
      <x:c r="H35" s="12" t="str">
        <x:v>apps/web/src/app/admin/access</x:v>
      </x:c>
      <x:c r="I35" s="12" t="str">
        <x:v>Low</x:v>
      </x:c>
      <x:c r="J35" s="12" t="str">
        <x:v>CLAUDE DESIGN SCREEN PROMPT — CD-017 / SCR-ADM-090
You are designing Roles and permissions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admin/access/page.tsx; rbac_matrix.csv; Supabase RLS migrations. Inspect the existing implementation at apps/web/src/app/admin/access. Record branch, commit and dirty-worktree state. Do not design from screenshots alone.
CONTRACT
Screen: SCR-ADM-090. Route/mode: /admin/access. Persona: Security Admin. Journey: P00. Engines: ENG-12. User job: Understand and safely change role, channel, action and data scope. Requirements: Filter the 493-row acceptance ledger and 478-row traceability by this screen and journey; preserve every matched row.
DESIGN THESIS
A permission matrix paired with an effective-access explainer and segregation-of-duties warnings.
Why this way: Checkboxes alone hide inherited access, data scope and privilege conflicts.
Signature differentiator: ‘Can this user do this?’ simulator explains effective access with role, scope, guard and RLS evidence.
Outlier/hard case: Multi-role users, self-escalation, maker-checker conflicts and permission beyond administrator authority.
INFLUENCE AND ORIGINALITY
Study references R01, R02, R11, R12 in the pack’s Reference Library. Adopt this principle: Enterprise matrix interaction and explainable access evaluation. Explicitly reject: No IAM product clone or raw policy editor. Saqeel’s DEC-011 tokens, typography, dark/light themes, EN/AR behavior and component grammar remain the visual authority.
MANDATORY OBJECTS
Role list; capability matrix; channel/action/data scope; inheritance; segregation warnings; compare; simulator; approval/publish; audit.
Mandatory states: View; draft; conflict; unauthorized grant; submitted; published; effective-access denied.
Blind spots to resolve visibly: Navigation visibility must follow effective role; RLS remains authority; fallback-to-admin issue needs separate decision.
Art direction: Make dangerous permission changes visually heavy and everyday inspection visually simple.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CD-017_SCR-ADM-090_primary.png and CD-017_SCR-ADM-090_outlier.png.
DETERMINISTIC DESIGN-TO-CODE REPLACEMENT CONTRACT
The repository-derived candidate file inventory is: apps/web/src/app/admin/access/page.tsx.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IMPLEMENTATION_MANIFEST_CD-017.yaml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COMPONENT_MAP_CD-017.csv mapping each design component/state to the existing or proposed code component and CSS selector/token; (C) CLAUDE_CODE_HANDOFF_CD-017.md with the controlled application order: semantic tokens → approved assets → shared components → route composition → localization → tests/evidence; and (D) ACCEPTANCE_CHECKLIST_CD-017.md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Users &amp; Roles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6" ht="210" customHeight="1">
      <x:c r="A36" s="12" t="n">
        <x:v>31</x:v>
      </x:c>
      <x:c r="B36" s="12" t="str">
        <x:v>B5A — Admin governance · DEFERRED</x:v>
      </x:c>
      <x:c r="C36" s="12" t="str">
        <x:v>CD-018</x:v>
      </x:c>
      <x:c r="D36" s="12" t="str">
        <x:v>ADM-LOCALIZATION</x:v>
      </x:c>
      <x:c r="E36" s="12" t="str">
        <x:v>Admin</x:v>
      </x:c>
      <x:c r="F36" s="12" t="str">
        <x:v>Localization studio</x:v>
      </x:c>
      <x:c r="G36" s="12" t="str">
        <x:v>/admin/localization</x:v>
      </x:c>
      <x:c r="H36" s="12" t="str">
        <x:v>apps/web/src/app/admin/localization</x:v>
      </x:c>
      <x:c r="I36" s="12" t="str">
        <x:v>Low</x:v>
      </x:c>
      <x:c r="J36" s="12" t="str">
        <x:v>CLAUDE DESIGN SCREEN PROMPT — CD-018 / ADM-LOCALIZATION
You are designing Localization studio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admin/localization/page.tsx/actions.ts; ui_strings migrations; DEC-004/011. Inspect the existing implementation at apps/web/src/app/admin/localization. Record branch, commit and dirty-worktree state. Do not design from screenshots alone.
CONTRACT
Screen: ADM-LOCALIZATION. Route/mode: /admin/localization. Persona: Localization Reviewer; Admin. Journey: Cross-cutting. Engines: ENG-12. User job: Find untranslated or drifted strings, review Arabic, and restore versioned content safely. Requirements: Filter the 493-row acceptance ledger and 478-row traceability by this screen and journey; preserve every matched row.
DESIGN THESIS
A bilingual production-control surface with source string, translation, status, context and visual-risk cues side by side.
Why this way: Translation quality depends on context, layout risk and review state, not only completion percentage.
Signature differentiator: Every string can open its screen context and flag expansion/RTL risk before approval.
Outlier/hard case: English-source drift, Arabic fallback, long translations, placeholders and pluralization.
INFLUENCE AND ORIGINALITY
Study references R01, R02, R11, R12 in the pack’s Reference Library. Adopt this principle: Enterprise localization workflows and Saqeel’s versioned string history. Explicitly reject: No generic translation SaaS clone or spreadsheet grid without screen context. Saqeel’s DEC-011 tokens, typography, dark/light themes, EN/AR behavior and component grammar remain the visual authority.
MANDATORY OBJECTS
Search; module/screen filter; EN source; AR edit; status; context screenshot link; placeholders; history; restore; CSV export; approve.
Mandatory states: Draft; needs review; approved; source drift; missing; placeholder error; restored.
Blind spots to resolve visibly: Human Arabic review remains pending; screen context images may be stale; role is not in the canonical persona list.
Art direction: Make review confidence and screen impact more prominent than raw completion percentage.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CD-018_ADM-LOCALIZATION_primary.png and CD-018_ADM-LOCALIZATION_outlier.png.
DETERMINISTIC DESIGN-TO-CODE REPLACEMENT CONTRACT
The repository-derived candidate file inventory is: apps/web/src/app/admin/localization/Manager.tsx; apps/web/src/app/admin/localization/actions.ts; apps/web/src/app/admin/localization/loading.tsx; apps/web/src/app/admin/localization/page.tsx.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IMPLEMENTATION_MANIFEST_CD-018.yaml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COMPONENT_MAP_CD-018.csv mapping each design component/state to the existing or proposed code component and CSS selector/token; (C) CLAUDE_CODE_HANDOFF_CD-018.md with the controlled application order: semantic tokens → approved assets → shared components → route composition → localization → tests/evidence; and (D) ACCEPTANCE_CHECKLIST_CD-018.md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Administration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7" ht="210" customHeight="1">
      <x:c r="A37" s="12" t="n">
        <x:v>32</x:v>
      </x:c>
      <x:c r="B37" s="12" t="str">
        <x:v>B5A — Admin governance · DEFERRED</x:v>
      </x:c>
      <x:c r="C37" s="12" t="str">
        <x:v>CD-019</x:v>
      </x:c>
      <x:c r="D37" s="12" t="str">
        <x:v>ADM-AUDIT</x:v>
      </x:c>
      <x:c r="E37" s="12" t="str">
        <x:v>Admin</x:v>
      </x:c>
      <x:c r="F37" s="12" t="str">
        <x:v>Audit trail browser</x:v>
      </x:c>
      <x:c r="G37" s="12" t="str">
        <x:v>/admin/audit</x:v>
      </x:c>
      <x:c r="H37" s="12" t="str">
        <x:v>apps/web/src/app/admin/audit</x:v>
      </x:c>
      <x:c r="I37" s="12" t="str">
        <x:v>Low</x:v>
      </x:c>
      <x:c r="J37" s="12" t="str">
        <x:v>CLAUDE DESIGN SCREEN PROMPT — CD-019 / ADM-AUDIT
You are designing Audit trail browser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admin/audit/page.tsx; audit_events; B1 evidence; ENG-12. Inspect the existing implementation at apps/web/src/app/admin/audit. Record branch, commit and dirty-worktree state. Do not design from screenshots alone.
CONTRACT
Screen: ADM-AUDIT. Route/mode: /admin/audit. Persona: Auditor; Security Admin. Journey: Cross-cutting. Engines: ENG-12. User job: Reconstruct who changed what, when, why and under which version. Requirements: Filter the 493-row acceptance ledger and 478-row traceability by this screen and journey; preserve every matched row.
DESIGN THESIS
An append-only event explorer that reads as a case narrative, not a log dump.
Why this way: Audit evidence must support investigation and replay across configuration and runtime.
Signature differentiator: Switch between event stream, object timeline and before/after diff without losing the same audit identity.
Outlier/hard case: High-volume events, sensitive payloads, missing external delivery confirmation and cross-object correlation.
INFLUENCE AND ORIGINALITY
Study references R01, R02, R11, R12 in the pack’s Reference Library. Adopt this principle: Enterprise event-table behavior plus object-page timeline and immutable traceability. Explicitly reject: No developer console aesthetic or editable log rows. Saqeel’s DEC-011 tokens, typography, dark/light themes, EN/AR behavior and component grammar remain the visual authority.
MANDATORY OBJECTS
Search; actor/object/action/date filters; correlation ID; event stream; before/after; version; source requirement; export; integrity cue.
Mandatory states: No events; loading; filtered empty; sensitive redaction; partial payload; service degraded.
Blind spots to resolve visibly: Retention/export policy; privacy masking; tamper evidence; timestamps/time zone; audit UI cannot prove backend immutability alone.
Art direction: Make the audit legible to business and security users while preserving forensic precision.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CD-019_ADM-AUDIT_primary.png and CD-019_ADM-AUDIT_outlier.png.
DETERMINISTIC DESIGN-TO-CODE REPLACEMENT CONTRACT
The repository-derived candidate file inventory is: apps/web/src/app/admin/audit/page.tsx.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IMPLEMENTATION_MANIFEST_CD-019.yaml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COMPONENT_MAP_CD-019.csv mapping each design component/state to the existing or proposed code component and CSS selector/token; (C) CLAUDE_CODE_HANDOFF_CD-019.md with the controlled application order: semantic tokens → approved assets → shared components → route composition → localization → tests/evidence; and (D) ACCEPTANCE_CHECKLIST_CD-019.md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Shared Admin control-plane shell V1.
Tab/placement: Administration · server-role-scoped group; no CRUD-only or unsupported placeholder tab.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8" ht="210" customHeight="1">
      <x:c r="A38" s="12" t="n">
        <x:v>33</x:v>
      </x:c>
      <x:c r="B38" s="12" t="str">
        <x:v>B6 — Field execution</x:v>
      </x:c>
      <x:c r="C38" s="12" t="str">
        <x:v>CD-033</x:v>
      </x:c>
      <x:c r="D38" s="12" t="str">
        <x:v>SCR-IPAD-600</x:v>
      </x:c>
      <x:c r="E38" s="12" t="str">
        <x:v>iPad</x:v>
      </x:c>
      <x:c r="F38" s="12" t="str">
        <x:v>Assigned visits — Today</x:v>
      </x:c>
      <x:c r="G38" s="12" t="str">
        <x:v>/field</x:v>
      </x:c>
      <x:c r="H38" s="12" t="str">
        <x:v>apps/web/src/app/field/page.tsx; apps/web/src/components/field/FieldHome.tsx</x:v>
      </x:c>
      <x:c r="I38" s="12" t="str">
        <x:v>Low</x:v>
      </x:c>
      <x:c r="J38" s="12" t="str">
        <x:v>CLAUDE DESIGN SCREEN PROMPT — CD-033 / SCR-IPAD-600
You are designing Assigned visits — Today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field/page.tsx; FieldHome.tsx; FieldTabs.tsx; SCR-IPAD-600. Inspect the existing implementation at apps/web/src/app/field/page.tsx; apps/web/src/components/field/FieldHome.tsx. Record branch, commit and dirty-worktree state. Do not design from screenshots alone.
CONTRACT
Screen: SCR-IPAD-600. Route/mode: /field. Persona: Inspector. Journey: P04. Engines: ENG-02, ENG-06, ENG-10, ENG-11, ENG-12. User job: Know what to do today, what is ready, what is returned and what is unsafe to start. Requirements: Filter the 493-row acceptance ledger and 478-row traceability by this screen and journey; preserve every matched row.
DESIGN THESIS
A field-first Today screen prioritizing next action, readiness and sync truth over generic analytics.
Why this way: Inspectors under field conditions need an action queue, not a desktop dashboard shrunk onto iPad.
Signature differentiator: Every visit card combines operational timing, factory context, offline readiness and one next safe action.
Outlier/hard case: Expired assignment, returned work, no sync, low storage and last-minute cancellation.
INFLUENCE AND ORIGINALITY
Study references R01, R02, R03, R05, R13 in the pack’s Reference Library. Adopt this principle: Field-service mobile task guidance, SafetyCulture scheduled work and adaptable iPad navigation. Explicitly reject: No web sidebar, desktop KPI dashboard or consumer calendar aesthetic. Saqeel’s DEC-011 tokens, typography, dark/light themes, EN/AR behavior and component grammar remain the visual authority.
MANDATORY OBJECTS
Today header; next visit; assignment cards; list/calendar/map; search/filter; offline badge; inbox; returned work; bottom tabs; sync center.
Mandatory states: Assigned; preparing; returned; expired; offline; sync failed; no assignments; cancelled.
Blind spots to resolve visibly: Current page has analytics that may compete with today’s job; shared Shell exposes irrelevant modules; 48px targets.
Art direction: Flagship iPad home. Make the first safe action obvious within five seconds.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CD-033_SCR-IPAD-600_primary.png and CD-033_SCR-IPAD-600_outlier.png.
DETERMINISTIC DESIGN-TO-CODE REPLACEMENT CONTRACT
The repository-derived candidate file inventory is: apps/web/src/app/field/page.tsx; apps/web/src/components/field/FieldHome.tsx.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IMPLEMENTATION_MANIFEST_CD-033.yaml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COMPONENT_MAP_CD-033.csv mapping each design component/state to the existing or proposed code component and CSS selector/token; (C) CLAUDE_CODE_HANDOFF_CD-033.md with the controlled application order: semantic tokens → approved assets → shared components → route composition → localization → tests/evidence; and (D) ACCEPTANCE_CHECKLIST_CD-033.md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Dedicated iPad field shell.
Tab/placement: Keep field tabs, sync truth and touch-first hierarchy; do not import the desktop sidebar.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39" ht="210" customHeight="1">
      <x:c r="A39" s="12" t="n">
        <x:v>34</x:v>
      </x:c>
      <x:c r="B39" s="12" t="str">
        <x:v>B6 — Field execution</x:v>
      </x:c>
      <x:c r="C39" s="12" t="str">
        <x:v>CD-034</x:v>
      </x:c>
      <x:c r="D39" s="12" t="str">
        <x:v>SCR-IPAD-610</x:v>
      </x:c>
      <x:c r="E39" s="12" t="str">
        <x:v>iPad</x:v>
      </x:c>
      <x:c r="F39" s="12" t="str">
        <x:v>Inspector startup pack</x:v>
      </x:c>
      <x:c r="G39" s="12" t="str">
        <x:v>/field/:visitId</x:v>
      </x:c>
      <x:c r="H39" s="12" t="str">
        <x:v>apps/web/src/app/field/[visitId]</x:v>
      </x:c>
      <x:c r="I39" s="12" t="str">
        <x:v>Low</x:v>
      </x:c>
      <x:c r="J39" s="12" t="str">
        <x:v>CLAUDE DESIGN SCREEN PROMPT — CD-034 / SCR-IPAD-610
You are designing Inspector startup pack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field/[visitId]/page.tsx; Startup.tsx; offline.ts; ERR-PKG-001. Inspect the existing implementation at apps/web/src/app/field/[visitId]. Record branch, commit and dirty-worktree state. Do not design from screenshots alone.
CONTRACT
Screen: SCR-IPAD-610. Route/mode: /field/:visitId. Persona: Inspector. Journey: P04/P05. Engines: ENG-02, ENG-03, ENG-06, ENG-10, ENG-12. User job: Prepare the visit and prove package, device, route and offline readiness before departure. Requirements: Filter the 493-row acceptance ledger and 478-row traceability by this screen and journey; preserve every matched row.
DESIGN THESIS
A pre-flight checklist with a visual readiness contract and deep links to every failed prerequisite.
Why this way: A green ‘ready’ badge without actual checks is unsafe. The inspector must know what is missing and why it matters.
Signature differentiator: Airplane-mode proof panel verifies package, maps, forms, evidence capacity and sync queue before travel.
Outlier/hard case: Corrupt package, low storage, weak GPS, wrong mode, stale map and incomplete factory context.
INFLUENCE AND ORIGINALITY
Study references R01, R02, R05, R07, R08, R13 in the pack’s Reference Library. Adopt this principle: Dynamics mobile offline and ArcGIS offline-area preparation, adapted to inspection package integrity. Explicitly reject: No device-settings checklist or superficial progress ring. Saqeel’s DEC-011 tokens, typography, dark/light themes, EN/AR behavior and component grammar remain the visual authority.
MANDATORY OBJECTS
Visit summary; Factory 360 snapshot; package manifest; documents; route; device diagnostics; storage; offline map coverage; readiness checklist; download/retry; return assignment.
Mandatory states: Not downloaded; downloading; ready; corrupt; low storage; GPS weak; offline; wrong mode; returned.
Blind spots to resolve visibly: Package hash/version; external tile limitation; background downloads; restart recovery; user must not bypass blockers.
Art direction: Flagship readiness screen. Build confidence before the inspector leaves connectivity.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CD-034_SCR-IPAD-610_primary.png and CD-034_SCR-IPAD-610_outlier.png.
DETERMINISTIC DESIGN-TO-CODE REPLACEMENT CONTRACT
The repository-derived candidate file inventory is: apps/web/src/app/field/[visitId]/Startup.tsx; apps/web/src/app/field/[visitId]/actions.ts; apps/web/src/app/field/[visitId]/loading.tsx; apps/web/src/app/field/[visitId]/page.tsx.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IMPLEMENTATION_MANIFEST_CD-034.yaml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COMPONENT_MAP_CD-034.csv mapping each design component/state to the existing or proposed code component and CSS selector/token; (C) CLAUDE_CODE_HANDOFF_CD-034.md with the controlled application order: semantic tokens → approved assets → shared components → route composition → localization → tests/evidence; and (D) ACCEPTANCE_CHECKLIST_CD-034.md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Dedicated iPad field shell.
Tab/placement: Keep field tabs, sync truth and touch-first hierarchy; do not import the desktop sidebar.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0" ht="210" customHeight="1">
      <x:c r="A40" s="12" t="n">
        <x:v>35</x:v>
      </x:c>
      <x:c r="B40" s="12" t="str">
        <x:v>B6 — Field execution</x:v>
      </x:c>
      <x:c r="C40" s="12" t="str">
        <x:v>CD-035</x:v>
      </x:c>
      <x:c r="D40" s="12" t="str">
        <x:v>SCR-IPAD-620</x:v>
      </x:c>
      <x:c r="E40" s="12" t="str">
        <x:v>iPad</x:v>
      </x:c>
      <x:c r="F40" s="12" t="str">
        <x:v>Journey and geofence check-in</x:v>
      </x:c>
      <x:c r="G40" s="12" t="str">
        <x:v>/field/:visitId (journey mode)</x:v>
      </x:c>
      <x:c r="H40" s="12" t="str">
        <x:v>apps/web/src/app/field/[visitId]/Startup.tsx</x:v>
      </x:c>
      <x:c r="I40" s="12" t="str">
        <x:v>Low</x:v>
      </x:c>
      <x:c r="J40" s="12" t="str">
        <x:v>CLAUDE DESIGN SCREEN PROMPT — CD-035 / SCR-IPAD-620
You are designing Journey and geofence check-in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Startup.tsx; GeoMap.tsx; DEC-002/008; ERR-GEO-001/002. Inspect the existing implementation at apps/web/src/app/field/[visitId]/Startup.tsx. Record branch, commit and dirty-worktree state. Do not design from screenshots alone.
CONTRACT
Screen: SCR-IPAD-620. Route/mode: /field/:visitId (journey mode). Persona: Inspector. Journey: P06A. Engines: ENG-03, ENG-06, ENG-10, ENG-11, ENG-12. User job: Travel, understand route/ETA, prove arrival and check in or request a governed exception. Requirements: Filter the 493-row acceptance ledger and 478-row traceability by this screen and journey; preserve every matched row.
DESIGN THESIS
A map-led journey screen with one dominant next action and a geofence confidence card.
Why this way: Field users cannot interpret raw GPS accuracy, distance and boundary data while moving.
Signature differentiator: Check-in proof combines boundary, distance, GPS accuracy, timestamp, device and exception path in one audit-ready card.
Outlier/hard case: No GPS, weak accuracy, outside geofence, route deviation, offline maps and wrong official location.
INFLUENCE AND ORIGINALITY
Study references R01, R02, R05, R07, R08, R13 in the pack’s Reference Library. Adopt this principle: ArcGIS geofence/offline patterns and field-service travel status, grounded in DEC-002. Explicitly reject: No ride-hailing map clone or automatic check-in without proof. Saqeel’s DEC-011 tokens, typography, dark/light themes, EN/AR behavior and component grammar remain the visual authority.
MANDATORY OBJECTS
Route map; ETA/distance; privacy/freshness; GPS accuracy; start journey; arrival; geofence ring; check-in proof; retry; override request; offline indicator.
Mandatory states: Not started; on journey; arrived; inside; outside; weak GPS; offline; deviation; override pending/approved/denied.
Blind spots to resolve visibly: Provider abstraction; battery/privacy; thresholds from config; no false live navigation claim; indoor GPS exception.
Art direction: Flagship spatial interaction. Make complex location confidence understandable at a glance.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CD-035_SCR-IPAD-620_primary.png and CD-035_SCR-IPAD-620_outlier.png.
DETERMINISTIC DESIGN-TO-CODE REPLACEMENT CONTRACT
The repository-derived candidate file inventory is: apps/web/src/app/field/[visitId]/Startup.tsx.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IMPLEMENTATION_MANIFEST_CD-035.yaml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COMPONENT_MAP_CD-035.csv mapping each design component/state to the existing or proposed code component and CSS selector/token; (C) CLAUDE_CODE_HANDOFF_CD-035.md with the controlled application order: semantic tokens → approved assets → shared components → route composition → localization → tests/evidence; and (D) ACCEPTANCE_CHECKLIST_CD-035.md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Dedicated iPad field shell.
Tab/placement: Keep field tabs, sync truth and touch-first hierarchy; do not import the desktop sidebar.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1" ht="210" customHeight="1">
      <x:c r="A41" s="12" t="n">
        <x:v>36</x:v>
      </x:c>
      <x:c r="B41" s="12" t="str">
        <x:v>B6 — Field execution</x:v>
      </x:c>
      <x:c r="C41" s="12" t="str">
        <x:v>CD-036</x:v>
      </x:c>
      <x:c r="D41" s="12" t="str">
        <x:v>SCR-IPAD-630</x:v>
      </x:c>
      <x:c r="E41" s="12" t="str">
        <x:v>iPad</x:v>
      </x:c>
      <x:c r="F41" s="12" t="str">
        <x:v>Inspection workspace</x:v>
      </x:c>
      <x:c r="G41" s="12" t="str">
        <x:v>/field/inspection/:id</x:v>
      </x:c>
      <x:c r="H41" s="12" t="str">
        <x:v>apps/web/src/app/field/inspection/[id]</x:v>
      </x:c>
      <x:c r="I41" s="12" t="str">
        <x:v>Low</x:v>
      </x:c>
      <x:c r="J41" s="12" t="str">
        <x:v>CLAUDE DESIGN SCREEN PROMPT — CD-036 / SCR-IPAD-630
You are designing Inspection workspace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field/inspection/[id]/page.tsx; Workspace.tsx; offline.ts; SCR-IPAD-630. Inspect the existing implementation at apps/web/src/app/field/inspection/[id]. Record branch, commit and dirty-worktree state. Do not design from screenshots alone.
CONTRACT
Screen: SCR-IPAD-630. Route/mode: /field/inspection/:id. Persona: Inspector. Journey: P07. Engines: ENG-01, ENG-02, ENG-03, ENG-07, ENG-10, ENG-12. User job: Complete a dynamic inspection accurately through interruptions, offline periods and conditional logic. Requirements: Filter the 493-row acceptance ledger and 478-row traceability by this screen and journey; preserve every matched row.
DESIGN THESIS
A focused question workspace with persistent section progress, autosave/sync truth and blocker awareness.
Why this way: Long forms fail in the field when navigation, conditional behavior and save status are hidden.
Signature differentiator: ‘Regulatory context on demand’ reveals clause, guidance, evidence rule and downstream consequence without cluttering routine answering.
Outlier/hard case: Conditional-rule error, interruption/restart, offline autosave, hidden mandatory item and returned-section mode.
INFLUENCE AND ORIGINALITY
Study references R01, R02, R03, R05, R07, R13 in the pack’s Reference Library. Adopt this principle: SafetyCulture guided inspections, Field Maps smart forms and iPad split-view ergonomics. Explicitly reject: No survey app, spreadsheet form or desktop wizard. Saqeel’s DEC-011 tokens, typography, dark/light themes, EN/AR behavior and component grammar remain the visual authority.
MANDATORY OBJECTS
Section navigator; progress; question card; response controls; notes; evidence shortcut; rule/guidance drawer; autosave; sync status; blockers; next/previous.
Mandatory states: Online; offline; queued; syncing; conflict; validation error; conditional reveal; read-only submitted; returned editable.
Blind spots to resolve visibly: Large packages; keyboard and touch; conditional rules; scroll position recovery; one source of save truth; 16px inputs.
Art direction: Flagship execution screen. Calm focus plus uncompromising save and rule transparency.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CD-036_SCR-IPAD-630_primary.png and CD-036_SCR-IPAD-630_outlier.png.
DETERMINISTIC DESIGN-TO-CODE REPLACEMENT CONTRACT
The repository-derived candidate file inventory is: apps/web/src/app/field/inspection/[id]/FactoryVerification.tsx; apps/web/src/app/field/inspection/[id]/SignaturePad.tsx; apps/web/src/app/field/inspection/[id]/Workspace.tsx; apps/web/src/app/field/inspection/[id]/page.tsx; apps/web/src/app/field/inspection/[id]/runtime.ts.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IMPLEMENTATION_MANIFEST_CD-036.yaml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COMPONENT_MAP_CD-036.csv mapping each design component/state to the existing or proposed code component and CSS selector/token; (C) CLAUDE_CODE_HANDOFF_CD-036.md with the controlled application order: semantic tokens → approved assets → shared components → route composition → localization → tests/evidence; and (D) ACCEPTANCE_CHECKLIST_CD-036.md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Dedicated iPad field shell.
Tab/placement: Keep field tabs, sync truth and touch-first hierarchy; do not import the desktop sidebar.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2" ht="210" customHeight="1">
      <x:c r="A42" s="12" t="n">
        <x:v>37</x:v>
      </x:c>
      <x:c r="B42" s="12" t="str">
        <x:v>B6 — Field execution</x:v>
      </x:c>
      <x:c r="C42" s="12" t="str">
        <x:v>CD-037</x:v>
      </x:c>
      <x:c r="D42" s="12" t="str">
        <x:v>SCR-IPAD-640</x:v>
      </x:c>
      <x:c r="E42" s="12" t="str">
        <x:v>iPad</x:v>
      </x:c>
      <x:c r="F42" s="12" t="str">
        <x:v>Evidence capture and chain of custody</x:v>
      </x:c>
      <x:c r="G42" s="12" t="str">
        <x:v>/field/inspection/:id (evidence mode)</x:v>
      </x:c>
      <x:c r="H42" s="12" t="str">
        <x:v>apps/web/src/app/field/inspection/[id]/Workspace.tsx; apps/web/src/components/ImageAnnotator.tsx</x:v>
      </x:c>
      <x:c r="I42" s="12" t="str">
        <x:v>Low</x:v>
      </x:c>
      <x:c r="J42" s="12" t="str">
        <x:v>CLAUDE DESIGN SCREEN PROMPT — CD-037 / SCR-IPAD-640
You are designing Evidence capture and chain of custody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Workspace.tsx; ImageAnnotator.tsx; DEC-006; ERR-EVD-001/002. Inspect the existing implementation at apps/web/src/app/field/inspection/[id]/Workspace.tsx; apps/web/src/components/ImageAnnotator.tsx. Record branch, commit and dirty-worktree state. Do not design from screenshots alone.
CONTRACT
Screen: SCR-IPAD-640. Route/mode: /field/inspection/:id (evidence mode). Persona: Inspector. Journey: P08. Engines: ENG-07, ENG-10, ENG-12. User job: Capture valid evidence, link it correctly and know whether it is local, queued, synced or failed. Requirements: Filter the 493-row acceptance ledger and 478-row traceability by this screen and journey; preserve every matched row.
DESIGN THESIS
A capture workspace where legal metadata and lifecycle are visible without slowing the camera-first task.
Why this way: A generic uploader hides provenance, linkage, quality, compression and sync risk.
Signature differentiator: Evidence receipt follows each item from capture through annotation, hash, geotag, link target and server acknowledgement.
Outlier/hard case: Permission denied, oversized media, corrupt file, indoor no-GPS, annotation, deletion before submit and retry after timeout.
INFLUENCE AND ORIGINALITY
Study references R01, R02, R03, R04, R07, R08, R13 in the pack’s Reference Library. Adopt this principle: SafetyCulture evidence/action continuity and Field Maps attachment/offline metadata. Explicitly reject: No social-media gallery or cloud-drive uploader. Saqeel’s DEC-011 tokens, typography, dark/light themes, EN/AR behavior and component grammar remain the visual authority.
MANDATORY OBJECTS
Camera/gallery/video/document/voice; target link; metadata; quality; annotation; thumbnail; lifecycle status; retry; draft delete; manifest.
Mandatory states: Permission denied; captured local; compressing; queued; syncing; synced; failed; conflicted; unsupported/oversize; submitted locked.
Blind spots to resolve visibly: Chain of custody; EXIF privacy; storage; media provider; no redaction MVP1; deletion semantics; offline hash timing.
Art direction: Flagship evidence screen. Users should never wonder where an image is or whether it is official.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CD-037_SCR-IPAD-640_primary.png and CD-037_SCR-IPAD-640_outlier.png.
DETERMINISTIC DESIGN-TO-CODE REPLACEMENT CONTRACT
The repository-derived candidate file inventory is: apps/web/src/app/field/inspection/[id]/Workspace.tsx; apps/web/src/components/ImageAnnotator.tsx.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IMPLEMENTATION_MANIFEST_CD-037.yaml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COMPONENT_MAP_CD-037.csv mapping each design component/state to the existing or proposed code component and CSS selector/token; (C) CLAUDE_CODE_HANDOFF_CD-037.md with the controlled application order: semantic tokens → approved assets → shared components → route composition → localization → tests/evidence; and (D) ACCEPTANCE_CHECKLIST_CD-037.md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Dedicated iPad field shell.
Tab/placement: Keep field tabs, sync truth and touch-first hierarchy; do not import the desktop sidebar.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3" ht="210" customHeight="1">
      <x:c r="A43" s="12" t="n">
        <x:v>38</x:v>
      </x:c>
      <x:c r="B43" s="12" t="str">
        <x:v>B7 — Virtual inspection</x:v>
      </x:c>
      <x:c r="C43" s="12" t="str">
        <x:v>CD-038</x:v>
      </x:c>
      <x:c r="D43" s="12" t="str">
        <x:v>SCR-IPAD-650</x:v>
      </x:c>
      <x:c r="E43" s="12" t="str">
        <x:v>iPad</x:v>
      </x:c>
      <x:c r="F43" s="12" t="str">
        <x:v>Findings, violations and actions</x:v>
      </x:c>
      <x:c r="G43" s="12" t="str">
        <x:v>/field/inspection/:id (findings mode)</x:v>
      </x:c>
      <x:c r="H43" s="12" t="str">
        <x:v>apps/web/src/app/field/inspection/[id]/Workspace.tsx</x:v>
      </x:c>
      <x:c r="I43" s="12" t="str">
        <x:v>Low</x:v>
      </x:c>
      <x:c r="J43" s="12" t="str">
        <x:v>CLAUDE DESIGN SCREEN PROMPT — CD-038 / SCR-IPAD-650
You are designing Findings, violations and actions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Workspace.tsx; violation mappings; action_forms; SCR-IPAD-650. Inspect the existing implementation at apps/web/src/app/field/inspection/[id]/Workspace.tsx. Record branch, commit and dirty-worktree state. Do not design from screenshots alone.
CONTRACT
Screen: SCR-IPAD-650. Route/mode: /field/inspection/:id (findings mode). Persona: Inspector. Journey: P08. Engines: ENG-01, ENG-02, ENG-07, ENG-08, ENG-12. User job: Record an observation and understand the configured violation, penalty context and corrective action it produces. Requirements: Filter the 493-row acceptance ledger and 478-row traceability by this screen and journey; preserve every matched row.
DESIGN THESIS
A cause-to-consequence workspace anchored in the finding, with system-generated legal outcomes clearly distinguished from inspector input.
Why this way: Inspectors must not manually invent violations or penalties, yet they need context to capture sufficient evidence.
Signature differentiator: Trace ribbon links observation → clause → evidence → configured violation → penalty context → action form.
Outlier/hard case: Rule unavailable, missing evidence, multiple violations, incomplete action form and no applicable penalty.
INFLUENCE AND ORIGINALITY
Study references R01, R02, R03, R04, R11 in the pack’s Reference Library. Adopt this principle: SafetyCulture issue-to-action flow combined with Saqeel’s regulation/violation traceability. Explicitly reject: No free-form incident report or editable penalty selector. Saqeel’s DEC-011 tokens, typography, dark/light themes, EN/AR behavior and component grammar remain the visual authority.
MANDATORY OBJECTS
Finding form; severity; clause; linked response/evidence; generated violation; penalty context read-only; action owner/due/correction; completion validation.
Mandatory states: Draft; missing evidence; rule unavailable; generated; action incomplete; completed; submitted locked.
Blind spots to resolve visibly: Inspector authority boundaries; cardinality; legal basis; offline rule availability; no AI final decision.
Art direction: Make the distinction between observed fact and configured legal consequence unmistakable.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CD-038_SCR-IPAD-650_primary.png and CD-038_SCR-IPAD-650_outlier.png.
DETERMINISTIC DESIGN-TO-CODE REPLACEMENT CONTRACT
The repository-derived candidate file inventory is: apps/web/src/app/field/inspection/[id]/Workspace.tsx.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IMPLEMENTATION_MANIFEST_CD-038.yaml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COMPONENT_MAP_CD-038.csv mapping each design component/state to the existing or proposed code component and CSS selector/token; (C) CLAUDE_CODE_HANDOFF_CD-038.md with the controlled application order: semantic tokens → approved assets → shared components → route composition → localization → tests/evidence; and (D) ACCEPTANCE_CHECKLIST_CD-038.md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Constrained virtual-session shell.
Tab/placement: Factory representatives receive session-only navigation; never expose internal Web/Admin destinations.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4" ht="210" customHeight="1">
      <x:c r="A44" s="12" t="n">
        <x:v>39</x:v>
      </x:c>
      <x:c r="B44" s="12" t="str">
        <x:v>B7 — Virtual inspection</x:v>
      </x:c>
      <x:c r="C44" s="12" t="str">
        <x:v>CD-039</x:v>
      </x:c>
      <x:c r="D44" s="12" t="str">
        <x:v>SCR-IPAD-660</x:v>
      </x:c>
      <x:c r="E44" s="12" t="str">
        <x:v>iPad</x:v>
      </x:c>
      <x:c r="F44" s="12" t="str">
        <x:v>Pre-submit validation and immutable submission</x:v>
      </x:c>
      <x:c r="G44" s="12" t="str">
        <x:v>/field/inspection/:id (submit mode)</x:v>
      </x:c>
      <x:c r="H44" s="12" t="str">
        <x:v>apps/web/src/app/field/inspection/[id]/Workspace.tsx</x:v>
      </x:c>
      <x:c r="I44" s="12" t="str">
        <x:v>Low</x:v>
      </x:c>
      <x:c r="J44" s="12" t="str">
        <x:v>CLAUDE DESIGN SCREEN PROMPT — CD-039 / SCR-IPAD-660
You are designing Pre-submit validation and immutable submission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Workspace.tsx; offline.ts; ERR-SUB-001/002; STM-INS-002. Inspect the existing implementation at apps/web/src/app/field/inspection/[id]/Workspace.tsx. Record branch, commit and dirty-worktree state. Do not design from screenshots alone.
CONTRACT
Screen: SCR-IPAD-660. Route/mode: /field/inspection/:id (submit mode). Persona: Inspector. Journey: P09. Engines: ENG-03, ENG-07, ENG-09, ENG-10, ENG-11, ENG-12. User job: Resolve every blocker, understand what will lock and submit exactly once. Requirements: Filter the 493-row acceptance ledger and 478-row traceability by this screen and journey; preserve every matched row.
DESIGN THESIS
A submission pre-flight converts hundreds of responses into a concise proof of completeness and immutability.
Why this way: A final button without a manifest encourages accidental incomplete or duplicate submissions.
Signature differentiator: Immutable receipt previews version, package, evidence manifest, signatures, queued operations and downstream reviewer handoff.
Outlier/hard case: Mandatory blocker, offline submit queue, timeout retry, duplicate request and unresolved conflict.
INFLUENCE AND ORIGINALITY
Study references R01, R02, R03, R14 in the pack’s Reference Library. Adopt this principle: Inspection completion review and government-service validation summaries, backed by idempotent submission. Explicitly reject: No generic checkout summary or celebratory success screen. Saqeel’s DEC-011 tokens, typography, dark/light themes, EN/AR behavior and component grammar remain the visual authority.
MANDATORY OBJECTS
Completion summary; grouped blockers with deep links; evidence manifest; action/signature status; sync truth; immutable warning; submit; receipt; reviewer handoff.
Mandatory states: Blocked; ready; offline queued; submitting; timeout; retry existing result; success locked; partial failure prevented.
Blind spots to resolve visibly: Idempotency; queued is not submitted; signatures; PDF generation failure; atomic rollback; exact locked scope.
Art direction: Flagship trust moment. Make the inspector confident that nothing is missing and nothing will be silently duplicated.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CD-039_SCR-IPAD-660_primary.png and CD-039_SCR-IPAD-660_outlier.png.
DETERMINISTIC DESIGN-TO-CODE REPLACEMENT CONTRACT
The repository-derived candidate file inventory is: apps/web/src/app/field/inspection/[id]/Workspace.tsx.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IMPLEMENTATION_MANIFEST_CD-039.yaml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COMPONENT_MAP_CD-039.csv mapping each design component/state to the existing or proposed code component and CSS selector/token; (C) CLAUDE_CODE_HANDOFF_CD-039.md with the controlled application order: semantic tokens → approved assets → shared components → route composition → localization → tests/evidence; and (D) ACCEPTANCE_CHECKLIST_CD-039.md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Constrained virtual-session shell.
Tab/placement: Factory representatives receive session-only navigation; never expose internal Web/Admin destinations.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5" ht="210" customHeight="1">
      <x:c r="A45" s="12" t="n">
        <x:v>40</x:v>
      </x:c>
      <x:c r="B45" s="12" t="str">
        <x:v>B7 — Virtual inspection</x:v>
      </x:c>
      <x:c r="C45" s="12" t="str">
        <x:v>CD-040</x:v>
      </x:c>
      <x:c r="D45" s="12" t="str">
        <x:v>SCR-IPAD-670</x:v>
      </x:c>
      <x:c r="E45" s="12" t="str">
        <x:v>iPad</x:v>
      </x:c>
      <x:c r="F45" s="12" t="str">
        <x:v>Returned correction and resubmission</x:v>
      </x:c>
      <x:c r="G45" s="12" t="str">
        <x:v>/field/inspection/:id (returned mode)</x:v>
      </x:c>
      <x:c r="H45" s="12" t="str">
        <x:v>apps/web/src/app/field/inspection/[id]/Workspace.tsx</x:v>
      </x:c>
      <x:c r="I45" s="12" t="str">
        <x:v>Low</x:v>
      </x:c>
      <x:c r="J45" s="12" t="str">
        <x:v>CLAUDE DESIGN SCREEN PROMPT — CD-040 / SCR-IPAD-670
You are designing Returned correction and resubmission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Workspace.tsx; reviews; submission_versions; STM-COR-001/002. Inspect the existing implementation at apps/web/src/app/field/inspection/[id]/Workspace.tsx. Record branch, commit and dirty-worktree state. Do not design from screenshots alone.
CONTRACT
Screen: SCR-IPAD-670. Route/mode: /field/inspection/:id (returned mode). Persona: Inspector. Journey: P11. Engines: ENG-03, ENG-07, ENG-09, ENG-10, ENG-12. User job: Understand the reviewer’s exact request, edit only unlocked sections and create version N+1. Requirements: Filter the 493-row acceptance ledger and 478-row traceability by this screen and journey; preserve every matched row.
DESIGN THESIS
A correction workspace that makes editable scope, immutable prior content and reviewer reasoning visually explicit.
Why this way: A generic reopened form risks unauthorized changes and hides the relationship between versions.
Signature differentiator: Return-contract header shows reviewer comment, due context, unlocked sections and a live change ledger against the prior version.
Outlier/hard case: Attempted locked edit, evidence replacement, overdue correction and offline conflict.
INFLUENCE AND ORIGINALITY
Study references R01, R02, R03, R11, R12 in the pack’s Reference Library. Adopt this principle: Inspection correction workflows plus semantic version comparison. Explicitly reject: No full-form edit mode or ambiguous ‘reopen’ badge. Saqeel’s DEC-011 tokens, typography, dark/light themes, EN/AR behavior and component grammar remain the visual authority.
MANDATORY OBJECTS
Return summary; immutable comment; version lineage; unlocked section nav; locked cues; change ledger; evidence add; blockers; resubmit.
Mandatory states: Returned; correction in progress; locked attempt; offline; conflict; ready; resubmitting; version N+1 submitted.
Blind spots to resolve visibly: Selective unlock enforcement; due policy; conflict resolution; prior evidence immutability; reviewer comment cannot be edited.
Art direction: Make the correction task narrow and reassuring: change only what was asked, prove what changed.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CD-040_SCR-IPAD-670_primary.png and CD-040_SCR-IPAD-670_outlier.png.
DETERMINISTIC DESIGN-TO-CODE REPLACEMENT CONTRACT
The repository-derived candidate file inventory is: apps/web/src/app/field/inspection/[id]/Workspace.tsx.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IMPLEMENTATION_MANIFEST_CD-040.yaml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COMPONENT_MAP_CD-040.csv mapping each design component/state to the existing or proposed code component and CSS selector/token; (C) CLAUDE_CODE_HANDOFF_CD-040.md with the controlled application order: semantic tokens → approved assets → shared components → route composition → localization → tests/evidence; and (D) ACCEPTANCE_CHECKLIST_CD-040.md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Constrained virtual-session shell.
Tab/placement: Factory representatives receive session-only navigation; never expose internal Web/Admin destinations.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6" ht="210" customHeight="1">
      <x:c r="A46" s="12" t="n">
        <x:v>41</x:v>
      </x:c>
      <x:c r="B46" s="12" t="str">
        <x:v>B7 — Virtual inspection</x:v>
      </x:c>
      <x:c r="C46" s="12" t="str">
        <x:v>CD-041</x:v>
      </x:c>
      <x:c r="D46" s="12" t="str">
        <x:v>SCR-VIR-700</x:v>
      </x:c>
      <x:c r="E46" s="12" t="str">
        <x:v>Virtual</x:v>
      </x:c>
      <x:c r="F46" s="12" t="str">
        <x:v>Virtual appointment and waiting room</x:v>
      </x:c>
      <x:c r="G46" s="12" t="str">
        <x:v>/virtual/:id</x:v>
      </x:c>
      <x:c r="H46" s="12" t="str">
        <x:v>apps/web/src/app/virtual/[id]</x:v>
      </x:c>
      <x:c r="I46" s="12" t="str">
        <x:v>Low</x:v>
      </x:c>
      <x:c r="J46" s="12" t="str">
        <x:v>CLAUDE DESIGN SCREEN PROMPT — CD-041 / SCR-VIR-700
You are designing Virtual appointment and waiting room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virtual/[id]/page.tsx; Room.tsx; SCR-VIR-700. Inspect the existing implementation at apps/web/src/app/virtual/[id]. Record branch, commit and dirty-worktree state. Do not design from screenshots alone.
CONTRACT
Screen: SCR-VIR-700. Route/mode: /virtual/:id. Persona: Inspector; Factory Representative. Journey: P06B. Engines: ENG-03, ENG-07, ENG-11, ENG-12. User job: Join the correct appointment with prepared device, identity and participation context. Requirements: Filter the 493-row acceptance ledger and 478-row traceability by this screen and journey; preserve every matched row.
DESIGN THESIS
A governed waiting room that separates appointment facts, participant readiness and session controls.
Why this way: Virtual inspection is a regulatory appointment, not a casual video meeting.
Signature differentiator: Readiness contract shows identity, device, evidence expectations, participant role and fallback path before join.
Outlier/hard case: Wrong appointment, late participant, device failure, reschedule and video provider pending.
INFLUENCE AND ORIGINALITY
Study references R01, R02, R11, R14 in the pack’s Reference Library. Adopt this principle: Government-service appointment clarity and enterprise readiness patterns. Explicitly reject: No Zoom/Teams lobby clone or implied active video provider. Saqeel’s DEC-011 tokens, typography, dark/light themes, EN/AR behavior and component grammar remain the visual authority.
MANDATORY OBJECTS
Appointment; factory/visit; participants; instructions; device readiness; identity status; evidence preparation; join/admit; reschedule; provider truth.
Mandatory states: Early; ready; waiting; late; wrong appointment; device failure; provider pending; rescheduled.
Blind spots to resolve visibly: External participant privacy; Arabic-first; provider pending; appointment access token; time zone.
Art direction: Make the regulatory purpose and readiness clearer than the video-call affordance.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CD-041_SCR-VIR-700_primary.png and CD-041_SCR-VIR-700_outlier.png.
DETERMINISTIC DESIGN-TO-CODE REPLACEMENT CONTRACT
The repository-derived candidate file inventory is: apps/web/src/app/virtual/[id]/Room.tsx; apps/web/src/app/virtual/[id]/actions.ts; apps/web/src/app/virtual/[id]/page.tsx.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IMPLEMENTATION_MANIFEST_CD-041.yaml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COMPONENT_MAP_CD-041.csv mapping each design component/state to the existing or proposed code component and CSS selector/token; (C) CLAUDE_CODE_HANDOFF_CD-041.md with the controlled application order: semantic tokens → approved assets → shared components → route composition → localization → tests/evidence; and (D) ACCEPTANCE_CHECKLIST_CD-041.md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Constrained virtual-session shell.
Tab/placement: Factory representatives receive session-only navigation; never expose internal Web/Admin destinations.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7" ht="210" customHeight="1">
      <x:c r="A47" s="12" t="n">
        <x:v>42</x:v>
      </x:c>
      <x:c r="B47" s="12" t="str">
        <x:v>B7 — Virtual inspection</x:v>
      </x:c>
      <x:c r="C47" s="12" t="str">
        <x:v>CD-042</x:v>
      </x:c>
      <x:c r="D47" s="12" t="str">
        <x:v>SCR-VIR-710</x:v>
      </x:c>
      <x:c r="E47" s="12" t="str">
        <x:v>Virtual</x:v>
      </x:c>
      <x:c r="F47" s="12" t="str">
        <x:v>Identity and OTP verification</x:v>
      </x:c>
      <x:c r="G47" s="12" t="str">
        <x:v>/virtual/:id (verification mode)</x:v>
      </x:c>
      <x:c r="H47" s="12" t="str">
        <x:v>apps/web/src/app/virtual/[id]/Room.tsx</x:v>
      </x:c>
      <x:c r="I47" s="12" t="str">
        <x:v>Low</x:v>
      </x:c>
      <x:c r="J47" s="12" t="str">
        <x:v>CLAUDE DESIGN SCREEN PROMPT — CD-042 / SCR-VIR-710
You are designing Identity and OTP verification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Room.tsx/actions.ts; DEC-007; ERR-VIR-001; SCR-VIR-710. Inspect the existing implementation at apps/web/src/app/virtual/[id]/Room.tsx. Record branch, commit and dirty-worktree state. Do not design from screenshots alone.
CONTRACT
Screen: SCR-VIR-710. Route/mode: /virtual/:id (verification mode). Persona: Factory Representative; Inspector; System. Journey: P06B. Engines: ENG-03, ENG-11, ENG-12. User job: Verify participant identity or follow a governed failure/escalation path. Requirements: Filter the 493-row acceptance ledger and 478-row traceability by this screen and journey; preserve every matched row.
DESIGN THESIS
A progressive verification panel that communicates state, remaining attempts, cooldown and audit consequence without anxiety.
Why this way: OTP is a security gate; bypasses or vague failures undermine the entire remote inspection.
Signature differentiator: Verification receipt connects participant, channel, attempt state, appointment and audit outcome while protecting sensitive data.
Outlier/hard case: Identity mismatch, wrong code, cooldown, exhausted attempts and provider unavailable.
INFLUENCE AND ORIGINALITY
Study references R01, R02, R14, R15 in the pack’s Reference Library. Adopt this principle: Government authentication clarity and NIST assurance, using accepted OTP configuration. Explicitly reject: No banking-app theatrics, fake success, or hidden lockout. Saqeel’s DEC-011 tokens, typography, dark/light themes, EN/AR behavior and component grammar remain the visual authority.
MANDATORY OBJECTS
Masked identity; role; OTP input; resend timer; attempts; channel; verify; mismatch; escalation/reschedule; audit receipt.
Mandatory states: Sent; entering; invalid; cooldown; resent; verified; exhausted; provider unavailable; escalated.
Blind spots to resolve visibly: Provider availability; SMS/email fallback; manual exception must be supervisor-approved and audited; Arabic numerals/input.
Art direction: Make every next step explicit while revealing no unnecessary personal data.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CD-042_SCR-VIR-710_primary.png and CD-042_SCR-VIR-710_outlier.png.
DETERMINISTIC DESIGN-TO-CODE REPLACEMENT CONTRACT
The repository-derived candidate file inventory is: apps/web/src/app/virtual/[id]/Room.tsx.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IMPLEMENTATION_MANIFEST_CD-042.yaml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COMPONENT_MAP_CD-042.csv mapping each design component/state to the existing or proposed code component and CSS selector/token; (C) CLAUDE_CODE_HANDOFF_CD-042.md with the controlled application order: semantic tokens → approved assets → shared components → route composition → localization → tests/evidence; and (D) ACCEPTANCE_CHECKLIST_CD-042.md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Constrained virtual-session shell.
Tab/placement: Factory representatives receive session-only navigation; never expose internal Web/Admin destinations.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row r="48" ht="210" customHeight="1">
      <x:c r="A48" s="12" t="n">
        <x:v>43</x:v>
      </x:c>
      <x:c r="B48" s="12" t="str">
        <x:v>B8 — Final reporting</x:v>
      </x:c>
      <x:c r="C48" s="12" t="str">
        <x:v>CD-043</x:v>
      </x:c>
      <x:c r="D48" s="12" t="str">
        <x:v>SCR-VIR-720</x:v>
      </x:c>
      <x:c r="E48" s="12" t="str">
        <x:v>Virtual</x:v>
      </x:c>
      <x:c r="F48" s="12" t="str">
        <x:v>Virtual inspection session</x:v>
      </x:c>
      <x:c r="G48" s="12" t="str">
        <x:v>/virtual/:id (session mode)</x:v>
      </x:c>
      <x:c r="H48" s="12" t="str">
        <x:v>apps/web/src/app/virtual/[id]/Room.tsx</x:v>
      </x:c>
      <x:c r="I48" s="12" t="str">
        <x:v>Medium</x:v>
      </x:c>
      <x:c r="J48" s="12" t="str">
        <x:v>CLAUDE DESIGN SCREEN PROMPT — CD-043 / SCR-VIR-720
You are designing Virtual inspection session for Saqeel MVP1. This is a controlled high-fidelity redesign of an already implemented product, not a greenfield concept.
MANDATORY REPOSITORY DISCOVERY
Read AGENTS.md; product-contract/00_START_HERE.md; CURRENT_STATE.md; GATE_STATUS.md; DECISIONS_ACCEPTED_2026-07-12_SAQEEL.yaml; design/claude-design-mvp1/00_START_HERE.md; CURRENT_UI_BASELINE.md; authority/CODE_ROUTE_RECONCILIATION.csv; product-contract/screens/screen_route_catalogue.csv; FABLE_UNDERSTANDING_TRACEABILITY.csv; FABLE_ACCEPTANCE_UNDERSTANDING.csv; and these screen-specific sources: Room.tsx/actions.ts; SCR-VIR-720; UX-BS-004; DEC-006/007. Inspect the existing implementation at apps/web/src/app/virtual/[id]/Room.tsx. Record branch, commit and dirty-worktree state. Do not design from screenshots alone.
CONTRACT
Screen: SCR-VIR-720. Route/mode: /virtual/:id (session mode). Persona: Inspector; Factory Representative. Journey: P06B/P07/P08. Engines: ENG-01, ENG-02, ENG-03, ENG-07, ENG-11, ENG-12. User job: Conduct a remote inspection, request views/evidence, complete the checklist and close or fall back safely. Requirements: Filter the 493-row acceptance ledger and 478-row traceability by this screen and journey; preserve every matched row.
DESIGN THESIS
A governed inspection workspace with the video stage treated as one evidence source beside agenda, checklist and capture—not the whole product.
Why this way: Video-call clones lose inspection structure; a regulatory session needs identity, evidence requests, notes, progress and fallback.
Signature differentiator: Evidence request rail timestamps what the inspector asked to see, what was shown, what was captured and whether it was sufficient.
Outlier/hard case: Video provider pending, weak connection, participant drop, insufficient evidence and fallback to physical inspection.
INFLUENCE AND ORIGINALITY
Study references R01, R02, R03, R04, R11, R12 in the pack’s Reference Library. Adopt this principle: Inspection evidence/action flow and enterprise split-workspace behavior; no video-product imitation. Explicitly reject: No Teams/Zoom interface, fake call controls or claimed recording integration. Saqeel’s DEC-011 tokens, typography, dark/light themes, EN/AR behavior and component grammar remain the visual authority.
MANDATORY OBJECTS
Provider-status stage; participants; identity badges; connection quality; agenda/checklist; evidence request rail; notes; capture; session status; fallback/close.
Mandatory states: Provider pending; connecting; waiting; active future; degraded; participant dropped; insufficient evidence; fallback physical; closed.
Blind spots to resolve visibly: No integrated video provider; recording consent/retention; bandwidth; external participant accessibility; closure must create review-ready handoff.
Art direction: Flagship virtual screen. The inspection protocol must remain usable even when video is degraded or unavailable.
DELIVERABLE
Produce code-ready high-fidelity design, not a wireframe. Fit the existing route, React components, server actions, Supabase contracts, RBAC/RLS, state transitions, audit, offline outbox, version immutability and provider truth. Provide: (1) primary populated design; (2) the critical outlier/failure state; (3) applicable dark/light and EN/AR/RTL evidence; (4) desktop or 1024×1366 iPad portrait/landscape as appropriate; (5) component disposition—PRESERVE/UPDATE/CREATE/REMOVE, where REMOVE requires explicit human approval; (6) interaction, state, audit and data annotations; (7) PNG names CD-043_SCR-VIR-720_primary.png and CD-043_SCR-VIR-720_outlier.png.
DETERMINISTIC DESIGN-TO-CODE REPLACEMENT CONTRACT
The repository-derived candidate file inventory is: apps/web/src/app/virtual/[id]/Room.tsx. Verify this inventory against imports and runtime composition before designing; add transitive files only with evidence. For every affected .tsx, .ts, .css, localization or asset file, provide its exact repository-relative path, current responsibility BEFORE this redesign, disposition (PRESERVE/UPDATE/CREATE/REMOVE), responsibility AFTER this redesign, exact component/export/selector/token/design-node affected, and why the change is required. A directory, route or guessed filename is not sufficient. Preserve handlers, server actions, Supabase calls, schemas, RLS/RBAC, audit events, state transitions, localization keys, offline/conflict logic, test selectors and accessibility behavior unless an approved requirement explicitly changes them. Never overwrite the repository during the design phase.
Return these handoff files with the design: (A) IMPLEMENTATION_MANIFEST_CD-043.yaml containing prompt_id, screen_id, route, source_branch, source_commit, dirty_worktree, design_frame_ids, PNGs, and one file_changes entry per exact path with before_responsibility, disposition, after_responsibility, design_node, code_target, protected_behavior, dependencies, RTL/theme impact, tests and rollback; (B) COMPONENT_MAP_CD-043.csv mapping each design component/state to the existing or proposed code component and CSS selector/token; (C) CLAUDE_CODE_HANDOFF_CD-043.md with the controlled application order: semantic tokens → approved assets → shared components → route composition → localization → tests/evidence; and (D) ACCEPTANCE_CHECKLIST_CD-043.md tracing requirements, states, responsive modes, accessibility and visual evidence. If an exact file or behavior cannot be verified, use HANDOFF_BLOCKED with the missing evidence—never guess. Claude Code may apply only a human-approved manifest on a controlled branch/worktree and must report the resulting diff path by path.
SELF-CRITICISM LOOP — COMPLETE BEFORE RETURNING
Pass 1: contract coverage—no mapped requirement, state, role, error or negative path missing. Pass 2: inspection-domain plausibility—an inspector/admin/planner/reviewer can explain every object. Pass 3: differentiation—remove generic SaaS/dashboard/form-builder patterns and any copied product styling. Pass 4: cohesion—use the shared Saqeel shell, tokens and components; this screen must look native to all other screens. Pass 5: implementation fit—verify existing files, routes, data, responsiveness, 48px field targets, 16px inputs, WCAG AA, keyboard, focus, reduced motion and RTL. Revise internally until all five passes score 5/5. Return READY_FOR_DESIGN_REVIEW, never self-approve.
DESIGN AMBITION V2 — MANDATORY NON-GENERIC PROOF
1. Before the final screen, create three genuinely different composition hypotheses. They must change information architecture and task flow, not merely color, spacing or card treatment. Show a compact comparison and state why the chosen hypothesis best supports the primary 30-second user decision.
2. Include one signature interaction that compresses cognitive work, reveals causality/provenance, or prevents an irreversible error. Decorative novelty does not qualify.
3. Apply the genericity test: remove Saqeel branding, colors and the page title. If the design could pass unchanged as CRM, project management, ticketing or a generic dashboard, revise it.
4. Use inspection objects—factory, plan, visit, assignment, package version, submission, evidence, clause, violation, action and audit event—as the visual structure. Encode source, version, lifecycle state, scope and freshness wherever they affect a decision.
5. Research proof is required: cite at least three primary sources—one inspection/enterprise operational pattern, one Saudi government/public-service source, and one accessibility/RTL source. For each record the observed principle, what was adopted, and what visual/product treatment was explicitly rejected. Do not copy screenshots or brand grammar.
6. Arabic is a first-class composition, not a mirrored afterthought. Demonstrate realistic long Arabic strings, mixed-direction IDs/dates, full document RTL, keyboard order, focus, truncation and narrow layout. Supply dark and light states without changing semantic meaning.
7. Functional motion only: use it to preserve object continuity, explain a state change or transfer focus; include reduced-motion behavior. Do not use animation as polish theatre.
8. Do not self-award Grade 5. Return the evidence for every rubric dimension and finish with READY_FOR_DESIGN_REVIEW.
VERTICAL-SLICE HANDOFF V2 — DESIGN APPROVAL IS NOT BUILD COMPLETION
Return WIRING_MAP_&lt;PROMPT_ID&gt;.csv with one row for every user action and system state: UI trigger; client component; route/server action; validation/guard; canonical transition; table/RPC/storage/provider; RLS/grant/role; audit event; notification/side effect; success result; negative/partial-failure result; automated test; runtime evidence.
If any leg does not exist in the current repository/runtime, mark it HANDOFF_BLOCKED. Never invent a handler, table, RPC, policy, provider, state transition or successful side effect.
After sponsor design approval, Codex must independently audit the wiring before implementation authorization. Claude Code then implements only the approved vertical slice on a safe non-main branch/worktree and must prove the real data record, state transition, audit event, side effect, negative paths, Arabic/RTL/themes/responsive behavior, keyboard/screen-reader behavior and regression suite. Status may advance to VERTICAL_SLICE_PASS only after that evidence exists.
SHARED SHELL CONTRACT V3 — MANDATORY
Shell family: Report / receipt surface.
Tab/placement: Preserve immutable report provenance; do not invent a new global tab or expose internal navigation to external readers.
The sponsor-approved global shell is implemented by apps/web/src/components/Shell.tsx, ShellClient.tsx, apps/web/src/lib/shell-navigation.ts and apps/web/src/app/astryx.css. Do not redesign the global sidebar, sticky topbar, account, theme, language, notification, sign-out, desktop collapse or mobile drawer inside this screen prompt. Preserve Arabic-first document RTL, magenta-violet Saqeel tokens, server-side role visibility, real links, accessible mobile focus/Escape behavior and page-specific filter scope. Unsupported Analytics, Lookup Management, Notification Configuration, Integration Management and AI destinations stay hidden unless a later governed contract and runtime route explicitly authorize them. Navigation visibility never replaces RLS, guards, canonical transitions, immutability or audit. Return any missing shell or route leg as HANDOFF_BLOCKED.</x:v>
      </x:c>
    </x:row>
  </x:sheetData>
  <x:mergeCells>
    <x:mergeCell ref="A1:J2"/>
    <x:mergeCell ref="A3:J3"/>
  </x:mergeCells>
  <x:pageMargins left="0.7" right="0.7" top="0.75" bottom="0.75" header="0.3" footer="0.3"/>
  <x:tableParts count="1">
    <x:tablePart xmlns:r="http://schemas.openxmlformats.org/officeDocument/2006/relationships" r:id="R3e75062266eb4f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36" hidden="0" customWidth="1"/>
    <x:col min="3" max="3" width="24" hidden="0" customWidth="1"/>
    <x:col min="4" max="4" width="58" hidden="0" customWidth="1"/>
    <x:col min="5" max="5" width="68" hidden="0" customWidth="1"/>
    <x:col min="6" max="6" width="50" hidden="0" customWidth="1"/>
  </x:cols>
  <x:sheetData>
    <x:row r="1">
      <x:c r="A1" s="3" t="str">
        <x:v>Reference and Influence Library</x:v>
      </x:c>
      <x:c r="B1" s="3"/>
      <x:c r="C1" s="3"/>
      <x:c r="D1" s="3"/>
      <x:c r="E1" s="3"/>
      <x:c r="F1" s="3"/>
    </x:row>
    <x:row r="2">
      <x:c r="A2" s="3"/>
      <x:c r="B2" s="3"/>
      <x:c r="C2" s="3"/>
      <x:c r="D2" s="3"/>
      <x:c r="E2" s="3"/>
      <x:c r="F2" s="3"/>
    </x:row>
    <x:row r="3">
      <x:c r="A3" s="20" t="str">
        <x:v>External references justify interaction principles. They never override the product contract or Saqeel visual authority.</x:v>
      </x:c>
      <x:c r="B3" s="20"/>
      <x:c r="C3" s="20"/>
      <x:c r="D3" s="20"/>
      <x:c r="E3" s="20"/>
      <x:c r="F3" s="20"/>
    </x:row>
    <x:row r="5" ht="34.5" customHeight="1">
      <x:c r="A5" s="67" t="str">
        <x:v>Code</x:v>
      </x:c>
      <x:c r="B5" s="67" t="str">
        <x:v>Reference</x:v>
      </x:c>
      <x:c r="C5" s="67" t="str">
        <x:v>Type</x:v>
      </x:c>
      <x:c r="D5" s="67" t="str">
        <x:v>Principle adopted</x:v>
      </x:c>
      <x:c r="E5" s="67" t="str">
        <x:v>Source / URL</x:v>
      </x:c>
      <x:c r="F5" s="67" t="str">
        <x:v>Use boundary</x:v>
      </x:c>
    </x:row>
    <x:row r="6" ht="76" customHeight="1">
      <x:c r="A6" s="68" t="str">
        <x:v>R01</x:v>
      </x:c>
      <x:c r="B6" s="68" t="str">
        <x:v>MIM MVP1 product contract and 20 implementation storyboards</x:v>
      </x:c>
      <x:c r="C6" s="68" t="str">
        <x:v>Internal authority</x:v>
      </x:c>
      <x:c r="D6" s="68" t="str">
        <x:v>Requirements, journeys, states, handoffs, KSA inspection context, and no-regression constraints.</x:v>
      </x:c>
      <x:c r="E6" s="68" t="str">
        <x:v>/Users/vikramindla/Documents/GitHub/Inspection/product-contract/00_START_HERE.md</x:v>
      </x:c>
      <x:c r="F6" s="68" t="str">
        <x:v>Binding authority; not a visual style source.</x:v>
      </x:c>
    </x:row>
    <x:row r="7" ht="76" customHeight="1">
      <x:c r="A7" s="74" t="str">
        <x:v>R02</x:v>
      </x:c>
      <x:c r="B7" s="74" t="str">
        <x:v>Saqeel DEC-011 and current tokens</x:v>
      </x:c>
      <x:c r="C7" s="74" t="str">
        <x:v>Internal visual authority</x:v>
      </x:c>
      <x:c r="D7" s="74" t="str">
        <x:v>Near-black indigo/violet identity, semantic status colors, EN/AR typography, dark/light themes.</x:v>
      </x:c>
      <x:c r="E7" s="74" t="str">
        <x:v>/Users/vikramindla/Documents/GitHub/Inspection/product-contract/governance/DECISIONS_ACCEPTED_2026-07-12_SAQEEL.yaml</x:v>
      </x:c>
      <x:c r="F7" s="74" t="str">
        <x:v>Binding visual language for every screen.</x:v>
      </x:c>
    </x:row>
    <x:row r="8" ht="76" customHeight="1">
      <x:c r="A8" s="68" t="str">
        <x:v>R03</x:v>
      </x:c>
      <x:c r="B8" s="68" t="str">
        <x:v>SafetyCulture Inspections, Issues, Actions</x:v>
      </x:c>
      <x:c r="C8" s="68" t="str">
        <x:v>Inspection-domain benchmark</x:v>
      </x:c>
      <x:c r="D8" s="68" t="str">
        <x:v>Guided inspection completion, required questions, flagged responses, action assignment, evidence and audit continuity.</x:v>
      </x:c>
      <x:c r="E8" s="68" t="str">
        <x:v>https://help.safetyculture.com/000009</x:v>
      </x:c>
      <x:c r="F8" s="68" t="str">
        <x:v>Borrow inspection interaction principles only; do not copy layout, icons, language, or brand.</x:v>
      </x:c>
    </x:row>
    <x:row r="9" ht="76" customHeight="1">
      <x:c r="A9" s="74" t="str">
        <x:v>R04</x:v>
      </x:c>
      <x:c r="B9" s="74" t="str">
        <x:v>SafetyCulture inspection management</x:v>
      </x:c>
      <x:c r="C9" s="74" t="str">
        <x:v>Inspection-domain benchmark</x:v>
      </x:c>
      <x:c r="D9" s="74" t="str">
        <x:v>Answer types, corrective actions, instant reports, calculations, drill-down analytics and audit trails.</x:v>
      </x:c>
      <x:c r="E9" s="74" t="str">
        <x:v>https://safetyculture.com/inspections-and-reports</x:v>
      </x:c>
      <x:c r="F9" s="74" t="str">
        <x:v>Use as evidence that inspection-to-action continuity is market-proven.</x:v>
      </x:c>
    </x:row>
    <x:row r="10" ht="76" customHeight="1">
      <x:c r="A10" s="68" t="str">
        <x:v>R05</x:v>
      </x:c>
      <x:c r="B10" s="68" t="str">
        <x:v>Microsoft Dynamics 365 Field Service mobile</x:v>
      </x:c>
      <x:c r="C10" s="68" t="str">
        <x:v>Field-service benchmark</x:v>
      </x:c>
      <x:c r="D10" s="68" t="str">
        <x:v>Offline-first field work, calendar, directions, camera/video, signatures, forced sync and checklists.</x:v>
      </x:c>
      <x:c r="E10" s="68" t="str">
        <x:v>https://learn.microsoft.com/en-us/dynamics365/field-service/mobile/overview</x:v>
      </x:c>
      <x:c r="F10" s="68" t="str">
        <x:v>Use operational principles; avoid Dynamics chrome and model-driven visual density.</x:v>
      </x:c>
    </x:row>
    <x:row r="11" ht="76" customHeight="1">
      <x:c r="A11" s="74" t="str">
        <x:v>R06</x:v>
      </x:c>
      <x:c r="B11" s="74" t="str">
        <x:v>Microsoft Dynamics 365 Schedule Board</x:v>
      </x:c>
      <x:c r="C11" s="74" t="str">
        <x:v>Dispatch benchmark</x:v>
      </x:c>
      <x:c r="D11" s="74" t="str">
        <x:v>Resource timelines, map/list synchronization, saved filters, assignment constraints, alerts, legends and contextual details.</x:v>
      </x:c>
      <x:c r="E11" s="74" t="str">
        <x:v>https://learn.microsoft.com/en-us/dynamics365/field-service/work-with-schedule-board</x:v>
      </x:c>
      <x:c r="F11" s="74" t="str">
        <x:v>Use dispatcher mental model; do not reproduce the schedule-board UI.</x:v>
      </x:c>
    </x:row>
    <x:row r="12" ht="76" customHeight="1">
      <x:c r="A12" s="68" t="str">
        <x:v>R07</x:v>
      </x:c>
      <x:c r="B12" s="68" t="str">
        <x:v>ArcGIS Field Maps</x:v>
      </x:c>
      <x:c r="C12" s="68" t="str">
        <x:v>GIS/field benchmark</x:v>
      </x:c>
      <x:c r="D12" s="68" t="str">
        <x:v>Maps, tasks, smart forms, geofences, location sharing, offline areas and field data collection.</x:v>
      </x:c>
      <x:c r="E12" s="68" t="str">
        <x:v>https://doc.arcgis.com/en/field-maps/get-started/get-started.htm</x:v>
      </x:c>
      <x:c r="F12" s="68" t="str">
        <x:v>Use truthfulness, offline readiness and spatial-context principles; Saqeel remains provider-agnostic.</x:v>
      </x:c>
    </x:row>
    <x:row r="13" ht="76" customHeight="1">
      <x:c r="A13" s="74" t="str">
        <x:v>R08</x:v>
      </x:c>
      <x:c r="B13" s="74" t="str">
        <x:v>ArcGIS Field Maps offline and attachments</x:v>
      </x:c>
      <x:c r="C13" s="74" t="str">
        <x:v>GIS/evidence benchmark</x:v>
      </x:c>
      <x:c r="D13" s="74" t="str">
        <x:v>Offline basemaps, layer readiness, attachment delivery, EXIF metadata, media constraints and sync preparation.</x:v>
      </x:c>
      <x:c r="E13" s="74" t="str">
        <x:v>https://doc.arcgis.com/en/field-maps/latest/prepare-maps/configure-the-map.htm</x:v>
      </x:c>
      <x:c r="F13" s="74" t="str">
        <x:v>Use for readiness and failure-state anatomy; do not imply ArcGIS is the chosen runtime provider.</x:v>
      </x:c>
    </x:row>
    <x:row r="14" ht="76" customHeight="1">
      <x:c r="A14" s="68" t="str">
        <x:v>R09</x:v>
      </x:c>
      <x:c r="B14" s="68" t="str">
        <x:v>ArcGIS Dashboards</x:v>
      </x:c>
      <x:c r="C14" s="68" t="str">
        <x:v>Operations benchmark</x:v>
      </x:c>
      <x:c r="D14" s="68" t="str">
        <x:v>Map-driven operational dashboards where selections filter lists/charts and all elements expose the same live context.</x:v>
      </x:c>
      <x:c r="E14" s="68" t="str">
        <x:v>https://doc.arcgis.com/en/dashboards/latest/get-started/create-a-dashboard.htm</x:v>
      </x:c>
      <x:c r="F14" s="68" t="str">
        <x:v>Use coordinated-view behavior; avoid decorative command-center theatrics.</x:v>
      </x:c>
    </x:row>
    <x:row r="15" ht="76" customHeight="1">
      <x:c r="A15" s="74" t="str">
        <x:v>R10</x:v>
      </x:c>
      <x:c r="B15" s="74" t="str">
        <x:v>Camunda Modeler</x:v>
      </x:c>
      <x:c r="C15" s="74" t="str">
        <x:v>Workflow benchmark</x:v>
      </x:c>
      <x:c r="D15" s="74" t="str">
        <x:v>States, decisions, forms, process tests, stakeholder comments and deployable governed models.</x:v>
      </x:c>
      <x:c r="E15" s="74" t="str">
        <x:v>https://camunda.com/platform/modeler/</x:v>
      </x:c>
      <x:c r="F15" s="74" t="str">
        <x:v>Use model-test-publish clarity; do not copy BPMN-specific branding or controls.</x:v>
      </x:c>
    </x:row>
    <x:row r="16" ht="76" customHeight="1">
      <x:c r="A16" s="68" t="str">
        <x:v>R11</x:v>
      </x:c>
      <x:c r="B16" s="68" t="str">
        <x:v>SAP Fiori list report and object page</x:v>
      </x:c>
      <x:c r="C16" s="68" t="str">
        <x:v>Enterprise UX benchmark</x:v>
      </x:c>
      <x:c r="D16" s="68" t="str">
        <x:v>Role-oriented overview, searchable/filterable object lists, object pages, wizards and adaptive list-detail layouts.</x:v>
      </x:c>
      <x:c r="E16" s="68" t="str">
        <x:v>https://www.sap.com/design-system/fiori-design-web/v1-145/page-types/floorplans/when-to-use-which-floorplan</x:v>
      </x:c>
      <x:c r="F16" s="68" t="str">
        <x:v>Use predictable enterprise information architecture; Saqeel styling and terminology remain distinct.</x:v>
      </x:c>
    </x:row>
    <x:row r="17" ht="76" customHeight="1">
      <x:c r="A17" s="74" t="str">
        <x:v>R12</x:v>
      </x:c>
      <x:c r="B17" s="74" t="str">
        <x:v>IBM Carbon data table and tokens</x:v>
      </x:c>
      <x:c r="C17" s="74" t="str">
        <x:v>Enterprise component benchmark</x:v>
      </x:c>
      <x:c r="D17" s="74" t="str">
        <x:v>Accessible dense tables, batch actions, expandable rows, keyboard behavior, semantic tokens and theme consistency.</x:v>
      </x:c>
      <x:c r="E17" s="74" t="str">
        <x:v>https://carbondesignsystem.com/components/data-table/usage/</x:v>
      </x:c>
      <x:c r="F17" s="74" t="str">
        <x:v>Use component behavior and accessibility discipline; do not import Carbon visuals.</x:v>
      </x:c>
    </x:row>
    <x:row r="18" ht="76" customHeight="1">
      <x:c r="A18" s="68" t="str">
        <x:v>R13</x:v>
      </x:c>
      <x:c r="B18" s="68" t="str">
        <x:v>Apple Human Interface Guidelines — iPad sidebars</x:v>
      </x:c>
      <x:c r="C18" s="68" t="str">
        <x:v>iPad interaction benchmark</x:v>
      </x:c>
      <x:c r="D18" s="68" t="str">
        <x:v>Adaptable sidebar/tab behavior, split views, hiding navigation, succinct hierarchy and large-screen touch use.</x:v>
      </x:c>
      <x:c r="E18" s="68" t="str">
        <x:v>https://developer.apple.com/design/human-interface-guidelines/sidebars</x:v>
      </x:c>
      <x:c r="F18" s="68" t="str">
        <x:v>Use iPad ergonomics without pretending the PWA is a native Apple app.</x:v>
      </x:c>
    </x:row>
    <x:row r="19" ht="76" customHeight="1">
      <x:c r="A19" s="74" t="str">
        <x:v>R14</x:v>
      </x:c>
      <x:c r="B19" s="74" t="str">
        <x:v>GOV.UK password and validation patterns</x:v>
      </x:c>
      <x:c r="C19" s="74" t="str">
        <x:v>Government-service benchmark</x:v>
      </x:c>
      <x:c r="D19" s="74" t="str">
        <x:v>Show/hide password, neutral authentication errors, clear error summaries, focus management and preserved form input.</x:v>
      </x:c>
      <x:c r="E19" s="74" t="str">
        <x:v>https://design-system.service.gov.uk/components/password-input/</x:v>
      </x:c>
      <x:c r="F19" s="74" t="str">
        <x:v>Use security and accessibility behavior; retain Saqeel visual language.</x:v>
      </x:c>
    </x:row>
    <x:row r="20" ht="76" customHeight="1">
      <x:c r="A20" s="68" t="str">
        <x:v>R15</x:v>
      </x:c>
      <x:c r="B20" s="68" t="str">
        <x:v>NIST SP 800-63B-4</x:v>
      </x:c>
      <x:c r="C20" s="68" t="str">
        <x:v>Authentication assurance</x:v>
      </x:c>
      <x:c r="D20" s="68" t="str">
        <x:v>Password handling, failed-attempt controls and verifier expectations.</x:v>
      </x:c>
      <x:c r="E20" s="68" t="str">
        <x:v>https://nvlpubs.nist.gov/nistpubs/SpecialPublications/NIST.SP.800-63B-4.pdf</x:v>
      </x:c>
      <x:c r="F20" s="68" t="str">
        <x:v>Security rationale only; does not prescribe the visual design.</x:v>
      </x:c>
    </x:row>
    <x:row r="21" ht="72" customHeight="1">
      <x:c r="A21" s="74" t="str">
        <x:v>R16</x:v>
      </x:c>
      <x:c r="B21" s="74" t="str">
        <x:v>Digital Government Authority — Digital Government Regulatory Framework</x:v>
      </x:c>
      <x:c r="C21" s="74" t="str">
        <x:v>Saudi government authority</x:v>
      </x:c>
      <x:c r="D21" s="74" t="str">
        <x:v>Digital-by-design, clear bilingual Arabic/English services, usable procedures and accountable digital governance.</x:v>
      </x:c>
      <x:c r="E21" s="74" t="str">
        <x:v>https://dga.gov.sa/en/regulatory_framework</x:v>
      </x:c>
      <x:c r="F21" s="74" t="str">
        <x:v>Use as Saudi public-service quality evidence; Saqeel contract and DEC-011 remain the product/visual authority.</x:v>
      </x:c>
    </x:row>
    <x:row r="22" ht="72" customHeight="1">
      <x:c r="A22" s="68" t="str">
        <x:v>R17</x:v>
      </x:c>
      <x:c r="B22" s="68" t="str">
        <x:v>DGA National Design System</x:v>
      </x:c>
      <x:c r="C22" s="68" t="str">
        <x:v>Saudi design-system authority</x:v>
      </x:c>
      <x:c r="D22" s="68" t="str">
        <x:v>National consistency, accessibility and Arabic-first public-sector interaction expectations.</x:v>
      </x:c>
      <x:c r="E22" s="68" t="str">
        <x:v>https://oss.dga.gov.sa/en/products/dga-ac319-national-design-system</x:v>
      </x:c>
      <x:c r="F22" s="68" t="str">
        <x:v>Use principles and quality bar only; do not replace the Saqeel identity or copy components.</x:v>
      </x:c>
    </x:row>
    <x:row r="23" ht="72" customHeight="1">
      <x:c r="A23" s="74" t="str">
        <x:v>R18</x:v>
      </x:c>
      <x:c r="B23" s="74" t="str">
        <x:v>W3C WCAG 2.2 Understanding</x:v>
      </x:c>
      <x:c r="C23" s="74" t="str">
        <x:v>Accessibility authority</x:v>
      </x:c>
      <x:c r="D23" s="74" t="str">
        <x:v>Focus appearance, target size, status messages, keyboard operation, reflow and non-color communication are testable acceptance outcomes.</x:v>
      </x:c>
      <x:c r="E23" s="74" t="str">
        <x:v>https://www.w3.org/WAI/WCAG22/understanding/</x:v>
      </x:c>
      <x:c r="F23" s="74" t="str">
        <x:v>Binding accessibility basis; not a visual style source.</x:v>
      </x:c>
    </x:row>
    <x:row r="24" ht="72" customHeight="1">
      <x:c r="A24" s="68" t="str">
        <x:v>R19</x:v>
      </x:c>
      <x:c r="B24" s="68" t="str">
        <x:v>WAI-ARIA Authoring Practices</x:v>
      </x:c>
      <x:c r="C24" s="68" t="str">
        <x:v>Accessible interaction authority</x:v>
      </x:c>
      <x:c r="D24" s="68" t="str">
        <x:v>Choose table versus grid deliberately; implement managed keyboard focus, dialogs, tabs and composite widgets with explicit semantics.</x:v>
      </x:c>
      <x:c r="E24" s="68" t="str">
        <x:v>https://www.w3.org/WAI/ARIA/apg/patterns/</x:v>
      </x:c>
      <x:c r="F24" s="68" t="str">
        <x:v>Use behavior/semantics; prefer native HTML where possible and never add ARIA to compensate for broken structure.</x:v>
      </x:c>
    </x:row>
    <x:row r="25" ht="72" customHeight="1">
      <x:c r="A25" s="74" t="str">
        <x:v>R20</x:v>
      </x:c>
      <x:c r="B25" s="74" t="str">
        <x:v>SAP Fiori floorplan overview / object page</x:v>
      </x:c>
      <x:c r="C25" s="74" t="str">
        <x:v>Enterprise workflow benchmark</x:v>
      </x:c>
      <x:c r="D25" s="74" t="str">
        <x:v>Choose a floorplan for the job: find-and-act lists, one-object dossiers and adaptive list-detail continuity.</x:v>
      </x:c>
      <x:c r="E25" s="74" t="str">
        <x:v>https://experience.sap.com/fiori-design-web/floorplan-overview/</x:v>
      </x:c>
      <x:c r="F25" s="74" t="str">
        <x:v>Use information-architecture principles; do not copy SAP shell, styling or controls.</x:v>
      </x:c>
    </x:row>
    <x:row r="26" ht="72" customHeight="1">
      <x:c r="A26" s="68" t="str">
        <x:v>R21</x:v>
      </x:c>
      <x:c r="B26" s="68" t="str">
        <x:v>Dynamics 365 Field Service schedule board</x:v>
      </x:c>
      <x:c r="C26" s="68" t="str">
        <x:v>Planning/dispatch benchmark</x:v>
      </x:c>
      <x:c r="D26" s="68" t="str">
        <x:v>Resource filters, time granularity, list/Gantt/map coordination, contextual detail and constraint visibility support dispatch decisions.</x:v>
      </x:c>
      <x:c r="E26" s="68" t="str">
        <x:v>https://learn.microsoft.com/en-us/dynamics365/field-service/work-with-schedule-board</x:v>
      </x:c>
      <x:c r="F26" s="68" t="str">
        <x:v>Use constraint and coordinated-view principles; do not reproduce the schedule-board UI or imply automatic validation.</x:v>
      </x:c>
    </x:row>
    <x:row r="27" ht="72" customHeight="1">
      <x:c r="A27" s="74" t="str">
        <x:v>R22</x:v>
      </x:c>
      <x:c r="B27" s="74" t="str">
        <x:v>ArcGIS Dashboards actions</x:v>
      </x:c>
      <x:c r="C27" s="74" t="str">
        <x:v>Coordinated-view benchmark</x:v>
      </x:c>
      <x:c r="D27" s="74" t="str">
        <x:v>Selections can coordinate maps, lists and indicators while keeping the same operational object and context visible.</x:v>
      </x:c>
      <x:c r="E27" s="74" t="str">
        <x:v>https://doc.arcgis.com/en/dashboards/latest/create-and-share/actions.htm</x:v>
      </x:c>
      <x:c r="F27" s="74" t="str">
        <x:v>Use object continuity; avoid dashboard chrome and do not imply ArcGIS is the runtime provider.</x:v>
      </x:c>
    </x:row>
    <x:row r="28" ht="72" customHeight="1">
      <x:c r="A28" s="68" t="str">
        <x:v>R23</x:v>
      </x:c>
      <x:c r="B28" s="68" t="str">
        <x:v>IBM Carbon data table</x:v>
      </x:c>
      <x:c r="C28" s="68" t="str">
        <x:v>Dense-work benchmark</x:v>
      </x:c>
      <x:c r="D28" s="68" t="str">
        <x:v>Batch actions, expandable rows, sorting, selection, loading states and keyboard accessibility support high-throughput operational work.</x:v>
      </x:c>
      <x:c r="E28" s="68" t="str">
        <x:v>https://carbondesignsystem.com/components/data-table/usage/</x:v>
      </x:c>
      <x:c r="F28" s="68" t="str">
        <x:v>Use behavior/accessibility discipline; do not import Carbon styling.</x:v>
      </x:c>
    </x:row>
    <x:row r="29" ht="72" customHeight="1">
      <x:c r="A29" s="74" t="str">
        <x:v>R24</x:v>
      </x:c>
      <x:c r="B29" s="74" t="str">
        <x:v>GOV.UK Check answers pattern</x:v>
      </x:c>
      <x:c r="C29" s="74" t="str">
        <x:v>Government-service decision benchmark</x:v>
      </x:c>
      <x:c r="D29" s="74" t="str">
        <x:v>Users must verify consequential information, change earlier answers without loss and explicitly confirm the final action.</x:v>
      </x:c>
      <x:c r="E29" s="74" t="str">
        <x:v>https://design-system.service.gov.uk/patterns/check-answers/</x:v>
      </x:c>
      <x:c r="F29" s="74" t="str">
        <x:v>Use confidence and irreversible-action principles; retain Saqeel language and visual grammar.</x:v>
      </x:c>
    </x:row>
    <x:row r="30" ht="72" customHeight="1">
      <x:c r="A30" s="68" t="str">
        <x:v>R25</x:v>
      </x:c>
      <x:c r="B30" s="68" t="str">
        <x:v>GOV.UK Error summary</x:v>
      </x:c>
      <x:c r="C30" s="68" t="str">
        <x:v>Government-service accessibility benchmark</x:v>
      </x:c>
      <x:c r="D30" s="68" t="str">
        <x:v>Move focus to a linked error summary, repeat errors inline and preserve entered values so blockers are recoverable.</x:v>
      </x:c>
      <x:c r="E30" s="68" t="str">
        <x:v>https://design-system.service.gov.uk/components/error-summary/</x:v>
      </x:c>
      <x:c r="F30" s="68" t="str">
        <x:v>Use focus/error behavior; never expose raw provider errors.</x:v>
      </x:c>
    </x:row>
    <x:row r="31" ht="72" customHeight="1">
      <x:c r="A31" s="74" t="str">
        <x:v>R26</x:v>
      </x:c>
      <x:c r="B31" s="74" t="str">
        <x:v>Supabase — Securing your API and RLS</x:v>
      </x:c>
      <x:c r="C31" s="74" t="str">
        <x:v>Backend security authority</x:v>
      </x:c>
      <x:c r="D31" s="74" t="str">
        <x:v>Object grants determine reachability; RLS determines row access. Both must be reviewed and tested for exposed data paths.</x:v>
      </x:c>
      <x:c r="E31" s="74" t="str">
        <x:v>https://supabase.com/docs/guides/api/securing-your-api</x:v>
      </x:c>
      <x:c r="F31" s="74" t="str">
        <x:v>Implementation/wiring evidence only; never invent or weaken a policy from a design prompt.</x:v>
      </x:c>
    </x:row>
    <x:row r="32" ht="72" customHeight="1">
      <x:c r="A32" s="68" t="str">
        <x:v>R27</x:v>
      </x:c>
      <x:c r="B32" s="68" t="str">
        <x:v>Supabase — Database testing</x:v>
      </x:c>
      <x:c r="C32" s="68" t="str">
        <x:v>Backend verification authority</x:v>
      </x:c>
      <x:c r="D32" s="68" t="str">
        <x:v>Automated database tests can verify schemas, functions, data integrity and RLS behavior in the vertical slice.</x:v>
      </x:c>
      <x:c r="E32" s="68" t="str">
        <x:v>https://supabase.com/docs/guides/local-development/testing/overview</x:v>
      </x:c>
      <x:c r="F32" s="68" t="str">
        <x:v>Evidence method only; actual tests must match the repository schema and accepted requirements.</x:v>
      </x:c>
    </x:row>
    <x:row r="33" ht="78" customHeight="1">
      <x:c r="A33" s="79" t="str">
        <x:v>R28</x:v>
      </x:c>
      <x:c r="B33" s="79" t="str">
        <x:v>Supabase JavaScript getUser and Row Level Security</x:v>
      </x:c>
      <x:c r="C33" s="79" t="str">
        <x:v>Current authentication/authorization authority</x:v>
      </x:c>
      <x:c r="D33" s="79" t="str">
        <x:v>getUser performs an Auth-server request and RLS remains the database authorization boundary; navigation visibility is not security.</x:v>
      </x:c>
      <x:c r="E33" s="79" t="str">
        <x:v>https://supabase.com/docs/reference/javascript/auth-getuser | https://supabase.com/docs/guides/database/postgres/row-level-security</x:v>
      </x:c>
      <x:c r="F33" s="79" t="str">
        <x:v>Used to validate the shell's server identity lookup and preserve RLS as enforcement. No schema or policy change authorized. Full authenticated regression PASS 41/41; sponsor accepted the shell on 2026-07-13.</x:v>
      </x:c>
    </x:row>
  </x:sheetData>
  <x:mergeCells>
    <x:mergeCell ref="A1:F2"/>
    <x:mergeCell ref="A3:F3"/>
  </x:mergeCells>
  <x:pageMargins left="0.7" right="0.7" top="0.75" bottom="0.75" header="0.3" footer="0.3"/>
  <x:tableParts count="1">
    <x:tablePart xmlns:r="http://schemas.openxmlformats.org/officeDocument/2006/relationships" r:id="Rdd0fc0ad04594d9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30" hidden="0" customWidth="1"/>
    <x:col min="4" max="4" width="17" hidden="0" customWidth="1"/>
    <x:col min="5" max="5" width="10" hidden="0" customWidth="1"/>
    <x:col min="6" max="6" width="52" hidden="0" customWidth="1"/>
    <x:col min="7" max="7" width="48" hidden="0" customWidth="1"/>
    <x:col min="8" max="8" width="45" hidden="0" customWidth="1"/>
    <x:col min="9" max="9" width="14" hidden="0" customWidth="1"/>
    <x:col min="10" max="10" width="38" hidden="0" customWidth="1"/>
    <x:col min="11" max="11" width="34.439998626708984" hidden="0" customWidth="1"/>
    <x:col min="12" max="12" width="40" hidden="0" customWidth="1"/>
    <x:col min="13" max="13" width="24.440000534057617" hidden="0" customWidth="1"/>
    <x:col min="14" max="14" width="43.33000183105469" hidden="0" customWidth="1"/>
  </x:cols>
  <x:sheetData>
    <x:row r="1">
      <x:c r="A1" s="3" t="str">
        <x:v>Blind Spot and Rejection-Risk Register</x:v>
      </x:c>
      <x:c r="B1" s="3"/>
      <x:c r="C1" s="3"/>
      <x:c r="D1" s="3"/>
      <x:c r="E1" s="3"/>
      <x:c r="F1" s="3"/>
      <x:c r="G1" s="3"/>
      <x:c r="H1" s="3"/>
      <x:c r="I1" s="3"/>
      <x:c r="J1" s="3"/>
    </x:row>
    <x:row r="2">
      <x:c r="A2" s="3"/>
      <x:c r="B2" s="3"/>
      <x:c r="C2" s="3"/>
      <x:c r="D2" s="3"/>
      <x:c r="E2" s="3"/>
      <x:c r="F2" s="3"/>
      <x:c r="G2" s="3"/>
      <x:c r="H2" s="3"/>
      <x:c r="I2" s="3"/>
      <x:c r="J2" s="3"/>
    </x:row>
    <x:row r="5" ht="34.5" customHeight="1">
      <x:c r="A5" s="67" t="str">
        <x:v>Prompt ID</x:v>
      </x:c>
      <x:c r="B5" s="67" t="str">
        <x:v>Screen ID</x:v>
      </x:c>
      <x:c r="C5" s="67" t="str">
        <x:v>Screen</x:v>
      </x:c>
      <x:c r="D5" s="67" t="str">
        <x:v>Channel</x:v>
      </x:c>
      <x:c r="E5" s="67" t="str">
        <x:v>Severity</x:v>
      </x:c>
      <x:c r="F5" s="67" t="str">
        <x:v>Blind spot</x:v>
      </x:c>
      <x:c r="G5" s="67" t="str">
        <x:v>Design response required</x:v>
      </x:c>
      <x:c r="H5" s="67" t="str">
        <x:v>Implementation boundary</x:v>
      </x:c>
      <x:c r="I5" s="67" t="str">
        <x:v>Rejection risk</x:v>
      </x:c>
      <x:c r="J5" s="67" t="str">
        <x:v>Closure evidence</x:v>
      </x:c>
      <x:c r="K5" s="67" t="str">
        <x:v>V2 non-generic challenge</x:v>
      </x:c>
      <x:c r="L5" s="67" t="str">
        <x:v>Mandatory wiring evidence</x:v>
      </x:c>
      <x:c r="M5" s="67" t="str">
        <x:v>Shell family</x:v>
      </x:c>
      <x:c r="N5" s="67" t="str">
        <x:v>Frozen sponsor-accepted shell P0/P1 failure to prevent</x:v>
      </x:c>
    </x:row>
    <x:row r="6" ht="88" customHeight="1">
      <x:c r="A6" s="68" t="str">
        <x:v>CD-001</x:v>
      </x:c>
      <x:c r="B6" s="68" t="str">
        <x:v>AUTH-01</x:v>
      </x:c>
      <x:c r="C6" s="68" t="str">
        <x:v>Unified sign-in — the inspection story</x:v>
      </x:c>
      <x:c r="D6" s="68" t="str">
        <x:v>Authentication</x:v>
      </x:c>
      <x:c r="E6" s="68" t="str">
        <x:v>P1</x:v>
      </x:c>
      <x:c r="F6" s="68" t="str">
        <x:v>Demo credentials must disappear before release; map tiles may fail; story panel must collapse gracefully on smaller screens; no text over imagery.</x:v>
      </x:c>
      <x:c r="G6" s="68" t="str">
        <x:v>Show the relevant negative/degraded state and annotate the recovery, truth label and owner.</x:v>
      </x:c>
      <x:c r="H6" s="68" t="str">
        <x:v>Requires explicit product/security confirmation if behavior changes.</x:v>
      </x:c>
      <x:c r="I6" s="68" t="str">
        <x:v>Low</x:v>
      </x:c>
      <x:c r="J6" s="68" t="str">
        <x:v>Primary + outlier PNG; acceptance trace; code-path handoff; reviewer decision</x:v>
      </x:c>
      <x:c r="K6" s="68" t="str">
        <x:v>Do not reopen for ordinary visual preference.</x:v>
      </x:c>
      <x:c r="L6" s="68" t="str">
        <x:v>WIRING_MAP must trace UI → server → data/RPC/storage → RLS/role → transition → audit → side effect → tests/evidence.</x:v>
      </x:c>
      <x:c r="M6" s="73" t="str">
        <x:v>Public access — no authenticated shell</x:v>
      </x:c>
      <x:c r="N6" s="73" t="str">
        <x:v>Preserve accepted access grammar; never add the business sidebar/topbar to login or reset. P0/P1 if role leakage, fake route, broken RTL/mobile focus, global-filter overclaim or weakened RLS/guard/audit occurs.</x:v>
      </x:c>
    </x:row>
    <x:row r="7" ht="88" customHeight="1">
      <x:c r="A7" s="74" t="str">
        <x:v>CD-002</x:v>
      </x:c>
      <x:c r="B7" s="74" t="str">
        <x:v>AUTH-02</x:v>
      </x:c>
      <x:c r="C7" s="74" t="str">
        <x:v>Password recovery and reset</x:v>
      </x:c>
      <x:c r="D7" s="74" t="str">
        <x:v>Authentication</x:v>
      </x:c>
      <x:c r="E7" s="74" t="str">
        <x:v>P1</x:v>
      </x:c>
      <x:c r="F7" s="74" t="str">
        <x:v>Current reset behavior must remain anti-enumeration; email delivery provider status must be truthful; do not invent password rules.</x:v>
      </x:c>
      <x:c r="G7" s="74" t="str">
        <x:v>Show the relevant negative/degraded state and annotate the recovery, truth label and owner.</x:v>
      </x:c>
      <x:c r="H7" s="74" t="str">
        <x:v>Requires explicit product/security confirmation if behavior changes.</x:v>
      </x:c>
      <x:c r="I7" s="74" t="str">
        <x:v>Low</x:v>
      </x:c>
      <x:c r="J7" s="74" t="str">
        <x:v>Primary + outlier PNG; acceptance trace; code-path handoff; reviewer decision</x:v>
      </x:c>
      <x:c r="K7" s="74" t="str">
        <x:v>Do not reopen for ordinary visual preference.</x:v>
      </x:c>
      <x:c r="L7" s="74" t="str">
        <x:v>WIRING_MAP must trace UI → server → data/RPC/storage → RLS/role → transition → audit → side effect → tests/evidence.</x:v>
      </x:c>
      <x:c r="M7" s="79" t="str">
        <x:v>Public access — no authenticated shell</x:v>
      </x:c>
      <x:c r="N7" s="79" t="str">
        <x:v>Preserve accepted access grammar; never add the business sidebar/topbar to login or reset. P0/P1 if role leakage, fake route, broken RTL/mobile focus, global-filter overclaim or weakened RLS/guard/audit occurs.</x:v>
      </x:c>
    </x:row>
    <x:row r="8" ht="88" customHeight="1">
      <x:c r="A8" s="68" t="str">
        <x:v>CD-003</x:v>
      </x:c>
      <x:c r="B8" s="68" t="str">
        <x:v>AUTH-03</x:v>
      </x:c>
      <x:c r="C8" s="68" t="str">
        <x:v>Role resolution, unauthorized and no workspace</x:v>
      </x:c>
      <x:c r="D8" s="68" t="str">
        <x:v>Authentication</x:v>
      </x:c>
      <x:c r="E8" s="68" t="str">
        <x:v>P0</x:v>
      </x:c>
      <x:c r="F8" s="68" t="str">
        <x:v>Changing fallback behavior is an implementation/security decision; design must flag it for approval rather than silently change routing.</x:v>
      </x:c>
      <x:c r="G8" s="68" t="str">
        <x:v>Show the relevant negative/degraded state and annotate the recovery, truth label and owner.</x:v>
      </x:c>
      <x:c r="H8" s="68" t="str">
        <x:v>Requires explicit product/security confirmation if behavior changes.</x:v>
      </x:c>
      <x:c r="I8" s="68" t="str">
        <x:v>Medium</x:v>
      </x:c>
      <x:c r="J8" s="68" t="str">
        <x:v>Primary + outlier PNG; acceptance trace; code-path handoff; reviewer decision</x:v>
      </x:c>
      <x:c r="K8" s="68" t="str">
        <x:v>Three composition hypotheses; one task-reducing signature interaction; pass the no-brand genericity test.</x:v>
      </x:c>
      <x:c r="L8" s="68" t="str">
        <x:v>WIRING_MAP must trace UI → server → data/RPC/storage → RLS/role → transition → audit → side effect → tests/evidence.</x:v>
      </x:c>
      <x:c r="M8" s="73" t="str">
        <x:v>Access resolution</x:v>
      </x:c>
      <x:c r="N8" s="73" t="str">
        <x:v>Resolve role server-side before revealing business navigation; no-workspace remains neutral and scoped. P0/P1 if role leakage, fake route, broken RTL/mobile focus, global-filter overclaim or weakened RLS/guard/audit occurs.</x:v>
      </x:c>
    </x:row>
    <x:row r="9" ht="88" customHeight="1">
      <x:c r="A9" s="74" t="str">
        <x:v>CD-020</x:v>
      </x:c>
      <x:c r="B9" s="74" t="str">
        <x:v>SCR-WEB-100</x:v>
      </x:c>
      <x:c r="C9" s="74" t="str">
        <x:v>Visit planning home</x:v>
      </x:c>
      <x:c r="D9" s="74" t="str">
        <x:v>Web — Planning</x:v>
      </x:c>
      <x:c r="E9" s="74" t="str">
        <x:v>P1</x:v>
      </x:c>
      <x:c r="F9" s="74" t="str">
        <x:v>Current visual is thin; planner may not understand bulk vs single outcomes; admin link must respect role scope.</x:v>
      </x:c>
      <x:c r="G9" s="74" t="str">
        <x:v>Show the relevant negative/degraded state and annotate the recovery, truth label and owner.</x:v>
      </x:c>
      <x:c r="H9" s="74" t="str">
        <x:v>Preserve accepted route, state, RBAC, audit and data contracts.</x:v>
      </x:c>
      <x:c r="I9" s="74" t="str">
        <x:v>Low</x:v>
      </x:c>
      <x:c r="J9" s="74" t="str">
        <x:v>Primary + outlier PNG; acceptance trace; code-path handoff; reviewer decision</x:v>
      </x:c>
      <x:c r="K9" s="74" t="str">
        <x:v>Compare method-decision spine, readiness-led and resume-led compositions. Make blocked methods and role-safe escalation visible; remove branding and prove it still reads as inspection planning, not a portal home.</x:v>
      </x:c>
      <x:c r="L9" s="74" t="str">
        <x:v>Read-side exists: published package_versions and draft visit_plans. Verify RLS and remove/guard any Admin link unavailable to the planner role.</x:v>
      </x:c>
      <x:c r="M9" s="79" t="str">
        <x:v>Shared Web/Operations shell V1</x:v>
      </x:c>
      <x:c r="N9" s="79" t="str">
        <x:v>Planning · reuse TASK-WEB-SHELL-001 exactly; design page content and page-specific filters only. P0/P1 if role leakage, fake route, broken RTL/mobile focus, global-filter overclaim or weakened RLS/guard/audit occurs.</x:v>
      </x:c>
    </x:row>
    <x:row r="10" ht="88" customHeight="1">
      <x:c r="A10" s="68" t="str">
        <x:v>CD-021</x:v>
      </x:c>
      <x:c r="B10" s="68" t="str">
        <x:v>SCR-WEB-110</x:v>
      </x:c>
      <x:c r="C10" s="68" t="str">
        <x:v>Bulk planning criteria and targeting</x:v>
      </x:c>
      <x:c r="D10" s="68" t="str">
        <x:v>Web — Planning</x:v>
      </x:c>
      <x:c r="E10" s="68" t="str">
        <x:v>P1</x:v>
      </x:c>
      <x:c r="F10" s="68" t="str">
        <x:v>Map denominator; large selection performance; risk explainability; exact region/city authority; keyboard criteria editing.</x:v>
      </x:c>
      <x:c r="G10" s="68" t="str">
        <x:v>Show the relevant negative/degraded state and annotate the recovery, truth label and owner.</x:v>
      </x:c>
      <x:c r="H10" s="68" t="str">
        <x:v>Preserve accepted route, state, RBAC, audit and data contracts.</x:v>
      </x:c>
      <x:c r="I10" s="68" t="str">
        <x:v>Low</x:v>
      </x:c>
      <x:c r="J10" s="68" t="str">
        <x:v>Primary + outlier PNG; acceptance trace; code-path handoff; reviewer decision</x:v>
      </x:c>
      <x:c r="K10" s="68" t="str">
        <x:v>Compare criteria-first, map-linked and result-first targeting compositions. Coordinate criteria, denominator, map and result selection; expose freshness and exclusions; never let the system appear to make an AI targeting decision.</x:v>
      </x:c>
      <x:c r="L10" s="68" t="str">
        <x:v>publishBulkPlan performs multiple inserts/updates/notifications and returns raw error messages. It is not proven transactional; audit RLS, guards, partial failure and neutral errors.</x:v>
      </x:c>
      <x:c r="M10" s="73" t="str">
        <x:v>Shared Web/Operations shell V1</x:v>
      </x:c>
      <x:c r="N10" s="73" t="str">
        <x:v>Planning · reuse TASK-WEB-SHELL-001 exactly; design page content and page-specific filters only. P0/P1 if role leakage, fake route, broken RTL/mobile focus, global-filter overclaim or weakened RLS/guard/audit occurs.</x:v>
      </x:c>
    </x:row>
    <x:row r="11" ht="88" customHeight="1">
      <x:c r="A11" s="74" t="str">
        <x:v>CD-022</x:v>
      </x:c>
      <x:c r="B11" s="74" t="str">
        <x:v>SCR-WEB-120</x:v>
      </x:c>
      <x:c r="C11" s="74" t="str">
        <x:v>Single visit planning</x:v>
      </x:c>
      <x:c r="D11" s="74" t="str">
        <x:v>Web — Planning</x:v>
      </x:c>
      <x:c r="E11" s="74" t="str">
        <x:v>P1</x:v>
      </x:c>
      <x:c r="F11" s="74" t="str">
        <x:v>Factory data provenance; sensitive fields; stale external registry; risk must inform, not decide.</x:v>
      </x:c>
      <x:c r="G11" s="74" t="str">
        <x:v>Show the relevant negative/degraded state and annotate the recovery, truth label and owner.</x:v>
      </x:c>
      <x:c r="H11" s="74" t="str">
        <x:v>Preserve accepted route, state, RBAC, audit and data contracts.</x:v>
      </x:c>
      <x:c r="I11" s="74" t="str">
        <x:v>Low</x:v>
      </x:c>
      <x:c r="J11" s="74" t="str">
        <x:v>Primary + outlier PNG; acceptance trace; code-path handoff; reviewer decision</x:v>
      </x:c>
      <x:c r="K11" s="74" t="str">
        <x:v>Build a search-to-confidence flow that distinguishes exact, ambiguous and degraded matches. Show factory provenance and selection consequences before configuration; do not collapse the journey into a generic wizard.</x:v>
      </x:c>
      <x:c r="L11" s="74" t="str">
        <x:v>publishSingleVisit performs multiple writes and notifications without proven transactionality. Verify canonical state changes, partial failure, RLS and audit continuity.</x:v>
      </x:c>
      <x:c r="M11" s="79" t="str">
        <x:v>Shared Web/Operations shell V1</x:v>
      </x:c>
      <x:c r="N11" s="79" t="str">
        <x:v>Planning · reuse TASK-WEB-SHELL-001 exactly; design page content and page-specific filters only. P0/P1 if role leakage, fake route, broken RTL/mobile focus, global-filter overclaim or weakened RLS/guard/audit occurs.</x:v>
      </x:c>
    </x:row>
    <x:row r="12" ht="88" customHeight="1">
      <x:c r="A12" s="68" t="str">
        <x:v>CD-023</x:v>
      </x:c>
      <x:c r="B12" s="68" t="str">
        <x:v>SCR-WEB-130</x:v>
      </x:c>
      <x:c r="C12" s="68" t="str">
        <x:v>Immediate visit planning</x:v>
      </x:c>
      <x:c r="D12" s="68" t="str">
        <x:v>Web — Planning</x:v>
      </x:c>
      <x:c r="E12" s="68" t="str">
        <x:v>P0</x:v>
      </x:c>
      <x:c r="F12" s="68" t="str">
        <x:v>Urgency may encourage weak data; manual location confidence; unregistered record reconciliation; no invented override rules.</x:v>
      </x:c>
      <x:c r="G12" s="68" t="str">
        <x:v>Show the relevant negative/degraded state and annotate the recovery, truth label and owner.</x:v>
      </x:c>
      <x:c r="H12" s="68" t="str">
        <x:v>Preserve accepted route, state, RBAC, audit and data contracts.</x:v>
      </x:c>
      <x:c r="I12" s="68" t="str">
        <x:v>Medium</x:v>
      </x:c>
      <x:c r="J12" s="68" t="str">
        <x:v>Primary + outlier PNG; acceptance trace; code-path handoff; reviewer decision</x:v>
      </x:c>
      <x:c r="K12" s="68" t="str">
        <x:v>Create urgency without weakening authority, evidence or validation. Compare compact authority-bar, consequence-first and context-first variants; avoid red-alert theatre and never imply unverified location truth.</x:v>
      </x:c>
      <x:c r="L12" s="68" t="str">
        <x:v>createImmediateVisit can create a temporary factory with hard-coded Riyadh and does not reliably prove assignment insert success before continuing. Region and partial failure need correction or an explicit block.</x:v>
      </x:c>
      <x:c r="M12" s="73" t="str">
        <x:v>Shared Web/Operations shell V1</x:v>
      </x:c>
      <x:c r="N12" s="73" t="str">
        <x:v>Planning · reuse TASK-WEB-SHELL-001 exactly; design page content and page-specific filters only. P0/P1 if role leakage, fake route, broken RTL/mobile focus, global-filter overclaim or weakened RLS/guard/audit occurs.</x:v>
      </x:c>
    </x:row>
    <x:row r="13" ht="88" customHeight="1">
      <x:c r="A13" s="74" t="str">
        <x:v>CD-024</x:v>
      </x:c>
      <x:c r="B13" s="74" t="str">
        <x:v>SCR-WEB-140</x:v>
      </x:c>
      <x:c r="C13" s="74" t="str">
        <x:v>Visit configuration and assignment</x:v>
      </x:c>
      <x:c r="D13" s="74" t="str">
        <x:v>Web — Planning</x:v>
      </x:c>
      <x:c r="E13" s="74" t="str">
        <x:v>P1</x:v>
      </x:c>
      <x:c r="F13" s="74" t="str">
        <x:v>Eligibility logic must match backend; travel time provider; workload scope; manual override policy.</x:v>
      </x:c>
      <x:c r="G13" s="74" t="str">
        <x:v>Show the relevant negative/degraded state and annotate the recovery, truth label and owner.</x:v>
      </x:c>
      <x:c r="H13" s="74" t="str">
        <x:v>Preserve accepted route, state, RBAC, audit and data contracts.</x:v>
      </x:c>
      <x:c r="I13" s="74" t="str">
        <x:v>Low</x:v>
      </x:c>
      <x:c r="J13" s="74" t="str">
        <x:v>Primary + outlier PNG; acceptance trace; code-path handoff; reviewer decision</x:v>
      </x:c>
      <x:c r="K13" s="74" t="str">
        <x:v>Express assignment as a constraint and eligibility decision, not a staff dropdown. Compare constraint-matrix, inspector-first and visit-first compositions. Current route is read-only: the handoff must remain blocked until real actions and guards are mapped.</x:v>
      </x:c>
      <x:c r="L13" s="74" t="str">
        <x:v>The mapped /planning/plans/:id page is a read-only plan drill-down. No configuration or assignment action is currently mapped. HANDOFF_BLOCKED until exact handlers, tables and guards exist.</x:v>
      </x:c>
      <x:c r="M13" s="79" t="str">
        <x:v>Shared Web/Operations shell V1</x:v>
      </x:c>
      <x:c r="N13" s="79" t="str">
        <x:v>Planning · reuse TASK-WEB-SHELL-001 exactly; design page content and page-specific filters only. P0/P1 if role leakage, fake route, broken RTL/mobile focus, global-filter overclaim or weakened RLS/guard/audit occurs.</x:v>
      </x:c>
    </x:row>
    <x:row r="14" ht="88" customHeight="1">
      <x:c r="A14" s="68" t="str">
        <x:v>CD-025</x:v>
      </x:c>
      <x:c r="B14" s="68" t="str">
        <x:v>SCR-WEB-150</x:v>
      </x:c>
      <x:c r="C14" s="68" t="str">
        <x:v>Plan review and publish</x:v>
      </x:c>
      <x:c r="D14" s="68" t="str">
        <x:v>Web — Planning</x:v>
      </x:c>
      <x:c r="E14" s="68" t="str">
        <x:v>P1</x:v>
      </x:c>
      <x:c r="F14" s="68" t="str">
        <x:v>Partial failure must not be presented as success; stale-data revalidation; maker-checker; focus must jump to blocker.</x:v>
      </x:c>
      <x:c r="G14" s="68" t="str">
        <x:v>Show the relevant negative/degraded state and annotate the recovery, truth label and owner.</x:v>
      </x:c>
      <x:c r="H14" s="68" t="str">
        <x:v>Preserve accepted route, state, RBAC, audit and data contracts.</x:v>
      </x:c>
      <x:c r="I14" s="68" t="str">
        <x:v>Low</x:v>
      </x:c>
      <x:c r="J14" s="68" t="str">
        <x:v>Primary + outlier PNG; acceptance trace; code-path handoff; reviewer decision</x:v>
      </x:c>
      <x:c r="K14" s="68" t="str">
        <x:v>Replace the phrase ‘atomic-publish preview’ with a truthful publish consequence ledger unless a transaction/RPC proves atomicity. Use blocker links, change paths and irreversible-action confirmation; current route has no mapped publish action.</x:v>
      </x:c>
      <x:c r="L14" s="68" t="str">
        <x:v>The same plan-detail route has no mapped publish action. Do not claim atomic publish. HANDOFF_BLOCKED until an approved transition/transaction and rollback behavior are evidenced.</x:v>
      </x:c>
      <x:c r="M14" s="73" t="str">
        <x:v>Shared Web/Operations shell V1</x:v>
      </x:c>
      <x:c r="N14" s="73" t="str">
        <x:v>Planning · reuse TASK-WEB-SHELL-001 exactly; design page content and page-specific filters only. P0/P1 if role leakage, fake route, broken RTL/mobile focus, global-filter overclaim or weakened RLS/guard/audit occurs.</x:v>
      </x:c>
    </x:row>
    <x:row r="15" ht="88" customHeight="1">
      <x:c r="A15" s="74" t="str">
        <x:v>CD-026</x:v>
      </x:c>
      <x:c r="B15" s="74" t="str">
        <x:v>SCR-WEB-200</x:v>
      </x:c>
      <x:c r="C15" s="74" t="str">
        <x:v>Visit management workspace</x:v>
      </x:c>
      <x:c r="D15" s="74" t="str">
        <x:v>Web — Visits</x:v>
      </x:c>
      <x:c r="E15" s="74" t="str">
        <x:v>P1</x:v>
      </x:c>
      <x:c r="F15" s="74" t="str">
        <x:v>Current separate routes; state-domain confusion; map source; bulk result audit; filter persistence; role-specific actions.</x:v>
      </x:c>
      <x:c r="G15" s="74" t="str">
        <x:v>Show the relevant negative/degraded state and annotate the recovery, truth label and owner.</x:v>
      </x:c>
      <x:c r="H15" s="74" t="str">
        <x:v>Preserve accepted route, state, RBAC, audit and data contracts.</x:v>
      </x:c>
      <x:c r="I15" s="74" t="str">
        <x:v>Low</x:v>
      </x:c>
      <x:c r="J15" s="74" t="str">
        <x:v>Primary + outlier PNG; acceptance trace; code-path handoff; reviewer decision</x:v>
      </x:c>
      <x:c r="K15" s="74" t="str">
        <x:v>Prove one selected visit remains the same object across list, calendar, workload and map. Compare coordinated-lens, queue-first and schedule-first compositions; handle partial bulk outcomes and never invent a wired map.</x:v>
      </x:c>
      <x:c r="L15" s="74" t="str">
        <x:v>List, calendar and workload routes exist; the operational map is not proven wired. Bulk actions can partially succeed. Preserve filters/object identity and report per-item outcomes truthfully.</x:v>
      </x:c>
      <x:c r="M15" s="79" t="str">
        <x:v>Shared Web/Operations shell V1</x:v>
      </x:c>
      <x:c r="N15" s="79" t="str">
        <x:v>Visit Management · reuse TASK-WEB-SHELL-001 exactly; design page content and page-specific filters only. P0/P1 if role leakage, fake route, broken RTL/mobile focus, global-filter overclaim or weakened RLS/guard/audit occurs.</x:v>
      </x:c>
    </x:row>
    <x:row r="16" ht="88" customHeight="1">
      <x:c r="A16" s="68" t="str">
        <x:v>CD-027</x:v>
      </x:c>
      <x:c r="B16" s="68" t="str">
        <x:v>SCR-WEB-210</x:v>
      </x:c>
      <x:c r="C16" s="68" t="str">
        <x:v>Visit detail</x:v>
      </x:c>
      <x:c r="D16" s="68" t="str">
        <x:v>Web — Visits</x:v>
      </x:c>
      <x:c r="E16" s="68" t="str">
        <x:v>P1</x:v>
      </x:c>
      <x:c r="F16" s="68" t="str">
        <x:v>State vocabulary; role/state action guards; history must remain after cancellation; partial linked-data failures.</x:v>
      </x:c>
      <x:c r="G16" s="68" t="str">
        <x:v>Show the relevant negative/degraded state and annotate the recovery, truth label and owner.</x:v>
      </x:c>
      <x:c r="H16" s="68" t="str">
        <x:v>Preserve accepted route, state, RBAC, audit and data contracts.</x:v>
      </x:c>
      <x:c r="I16" s="68" t="str">
        <x:v>Low</x:v>
      </x:c>
      <x:c r="J16" s="68" t="str">
        <x:v>Primary + outlier PNG; acceptance trace; code-path handoff; reviewer decision</x:v>
      </x:c>
      <x:c r="K16" s="68" t="str">
        <x:v>Make lifecycle state, assignment state, immutable history and allowed actions legible in one state ribbon. Design for partial side-effect failure and safe recovery; raw provider errors and direct status mutation may not leak into the experience.</x:v>
      </x:c>
      <x:c r="L16" s="68" t="str">
        <x:v>Visit actions span state, assignment, notes, attachments, storage and notifications. Raw errors and multi-write partial failures exist; verify canonical transitions, immutable history and audit events.</x:v>
      </x:c>
      <x:c r="M16" s="73" t="str">
        <x:v>Shared Web/Operations shell V1</x:v>
      </x:c>
      <x:c r="N16" s="73" t="str">
        <x:v>Visit Management · reuse TASK-WEB-SHELL-001 exactly; design page content and page-specific filters only. P0/P1 if role leakage, fake route, broken RTL/mobile focus, global-filter overclaim or weakened RLS/guard/audit occurs.</x:v>
      </x:c>
    </x:row>
    <x:row r="17" ht="88" customHeight="1">
      <x:c r="A17" s="74" t="str">
        <x:v>CD-028</x:v>
      </x:c>
      <x:c r="B17" s="74" t="str">
        <x:v>SCR-WEB-300</x:v>
      </x:c>
      <x:c r="C17" s="74" t="str">
        <x:v>Level 2 review queue</x:v>
      </x:c>
      <x:c r="D17" s="74" t="str">
        <x:v>Web — Review</x:v>
      </x:c>
      <x:c r="E17" s="74" t="str">
        <x:v>P1</x:v>
      </x:c>
      <x:c r="F17" s="74" t="str">
        <x:v>Current page also renders decision panels; queue and workspace should be distinct modes; SLA config freshness.</x:v>
      </x:c>
      <x:c r="G17" s="74" t="str">
        <x:v>Show the relevant negative/degraded state and annotate the recovery, truth label and owner.</x:v>
      </x:c>
      <x:c r="H17" s="74" t="str">
        <x:v>Preserve accepted route, state, RBAC, audit and data contracts.</x:v>
      </x:c>
      <x:c r="I17" s="74" t="str">
        <x:v>Low</x:v>
      </x:c>
      <x:c r="J17" s="74" t="str">
        <x:v>Primary + outlier PNG; acceptance trace; code-path handoff; reviewer decision</x:v>
      </x:c>
      <x:c r="K17" s="74" t="str">
        <x:v>Create an evidence/SLA prioritisation fingerprint that supports keyboard throughput and preserves the selected inspection. Do not draw a ticket queue. Claim/reassign controls are blocked unless a real action and authorization path are found.</x:v>
      </x:c>
      <x:c r="L17" s="74" t="str">
        <x:v>Queue reads exist, but dedicated claim/reassign actions are not currently mapped. Opening the workspace participates in review state creation. Do not invent queue controls.</x:v>
      </x:c>
      <x:c r="M17" s="79" t="str">
        <x:v>Shared Web/Operations shell V1</x:v>
      </x:c>
      <x:c r="N17" s="79" t="str">
        <x:v>Review &amp; Approval · reuse TASK-WEB-SHELL-001 exactly; design page content and page-specific filters only. P0/P1 if role leakage, fake route, broken RTL/mobile focus, global-filter overclaim or weakened RLS/guard/audit occurs.</x:v>
      </x:c>
    </x:row>
    <x:row r="18" ht="88" customHeight="1">
      <x:c r="A18" s="68" t="str">
        <x:v>CD-029</x:v>
      </x:c>
      <x:c r="B18" s="68" t="str">
        <x:v>SCR-WEB-310</x:v>
      </x:c>
      <x:c r="C18" s="68" t="str">
        <x:v>Level 2 review workspace</x:v>
      </x:c>
      <x:c r="D18" s="68" t="str">
        <x:v>Web — Review</x:v>
      </x:c>
      <x:c r="E18" s="68" t="str">
        <x:v>P1</x:v>
      </x:c>
      <x:c r="F18" s="68" t="str">
        <x:v>Decision immutability; return scope exactness; large media; keyboard review; reviewer cannot edit inspector data.</x:v>
      </x:c>
      <x:c r="G18" s="68" t="str">
        <x:v>Show the relevant negative/degraded state and annotate the recovery, truth label and owner.</x:v>
      </x:c>
      <x:c r="H18" s="68" t="str">
        <x:v>Preserve accepted route, state, RBAC, audit and data contracts.</x:v>
      </x:c>
      <x:c r="I18" s="68" t="str">
        <x:v>Low</x:v>
      </x:c>
      <x:c r="J18" s="68" t="str">
        <x:v>Primary + outlier PNG; acceptance trace; code-path handoff; reviewer decision</x:v>
      </x:c>
      <x:c r="K18" s="68" t="str">
        <x:v>Build a trace chain from response to evidence to clause to violation to action, with an explicit decision rail. Opening a page must not silently mutate review state; duplicate action paths and inconsistent validation require a wiring decision before implementation.</x:v>
      </x:c>
      <x:c r="L18" s="68" t="str">
        <x:v>The workspace currently writes during page load and has duplicate action files with inconsistent reason validation. Review/inspection/notification changes are not proven transactional.</x:v>
      </x:c>
      <x:c r="M18" s="73" t="str">
        <x:v>Shared Web/Operations shell V1</x:v>
      </x:c>
      <x:c r="N18" s="73" t="str">
        <x:v>Review &amp; Approval · reuse TASK-WEB-SHELL-001 exactly; design page content and page-specific filters only. P0/P1 if role leakage, fake route, broken RTL/mobile focus, global-filter overclaim or weakened RLS/guard/audit occurs.</x:v>
      </x:c>
    </x:row>
    <x:row r="19" ht="88" customHeight="1">
      <x:c r="A19" s="74" t="str">
        <x:v>CD-030</x:v>
      </x:c>
      <x:c r="B19" s="74" t="str">
        <x:v>SCR-WEB-320</x:v>
      </x:c>
      <x:c r="C19" s="74" t="str">
        <x:v>Version comparison</x:v>
      </x:c>
      <x:c r="D19" s="74" t="str">
        <x:v>Web — Review</x:v>
      </x:c>
      <x:c r="E19" s="74" t="str">
        <x:v>P1</x:v>
      </x:c>
      <x:c r="F19" s="74" t="str">
        <x:v>Non-color diff; media comparison; package-version semantics; current route consolidates compare mode.</x:v>
      </x:c>
      <x:c r="G19" s="74" t="str">
        <x:v>Show the relevant negative/degraded state and annotate the recovery, truth label and owner.</x:v>
      </x:c>
      <x:c r="H19" s="74" t="str">
        <x:v>Preserve accepted route, state, RBAC, audit and data contracts.</x:v>
      </x:c>
      <x:c r="I19" s="74" t="str">
        <x:v>Low</x:v>
      </x:c>
      <x:c r="J19" s="74" t="str">
        <x:v>Primary + outlier PNG; acceptance trace; code-path handoff; reviewer decision</x:v>
      </x:c>
      <x:c r="K19" s="74" t="str">
        <x:v>Design a semantic scope rail that distinguishes expected returned-scope changes, unexpected locked changes and unchanged context without red/green-only encoding. Do not claim media/package diffs beyond the data actually available.</x:v>
      </x:c>
      <x:c r="L19" s="74" t="str">
        <x:v>Current comparison is primarily answer-snapshot rows. Evidence/media/package semantic diff and already-locked change detection must remain blocked unless supported by runtime data.</x:v>
      </x:c>
      <x:c r="M19" s="79" t="str">
        <x:v>Shared Web/Operations shell V1</x:v>
      </x:c>
      <x:c r="N19" s="79" t="str">
        <x:v>Review &amp; Approval · reuse TASK-WEB-SHELL-001 exactly; design page content and page-specific filters only. P0/P1 if role leakage, fake route, broken RTL/mobile focus, global-filter overclaim or weakened RLS/guard/audit occurs.</x:v>
      </x:c>
    </x:row>
    <x:row r="20" ht="88" customHeight="1">
      <x:c r="A20" s="68" t="str">
        <x:v>CD-031</x:v>
      </x:c>
      <x:c r="B20" s="68" t="str">
        <x:v>SCR-WEB-400</x:v>
      </x:c>
      <x:c r="C20" s="68" t="str">
        <x:v>Factory 360</x:v>
      </x:c>
      <x:c r="D20" s="68" t="str">
        <x:v>Web — Factory</x:v>
      </x:c>
      <x:c r="E20" s="68" t="str">
        <x:v>P1</x:v>
      </x:c>
      <x:c r="F20" s="68" t="str">
        <x:v>Partial-service isolation; risk version; registry freshness; privacy; map boundary authority; leadership may need aggregation, not edits.</x:v>
      </x:c>
      <x:c r="G20" s="68" t="str">
        <x:v>Show the relevant negative/degraded state and annotate the recovery, truth label and owner.</x:v>
      </x:c>
      <x:c r="H20" s="68" t="str">
        <x:v>Preserve accepted route, state, RBAC, audit and data contracts.</x:v>
      </x:c>
      <x:c r="I20" s="68" t="str">
        <x:v>Low</x:v>
      </x:c>
      <x:c r="J20" s="68" t="str">
        <x:v>Primary + outlier PNG; acceptance trace; code-path handoff; reviewer decision</x:v>
      </x:c>
      <x:c r="K20" s="68" t="str">
        <x:v>Create a provenance- and freshness-led factory dossier with a spatial case timeline, not a CRM ‘360’ wall. Missing licence, legal, map, risk and timeline fields must be marked unavailable or handoff-blocked, never fabricated.</x:v>
      </x:c>
      <x:c r="L20" s="68" t="str">
        <x:v>Factory reads and supporting document/representative/product/material actions exist. Acceptance ledger still records partial licence, legal, map, risk, timeline and role-visibility coverage.</x:v>
      </x:c>
      <x:c r="M20" s="73" t="str">
        <x:v>Shared Web/Operations shell V1</x:v>
      </x:c>
      <x:c r="N20" s="73" t="str">
        <x:v>Factory 360 · reuse TASK-WEB-SHELL-001 exactly; design page content and page-specific filters only. P0/P1 if role leakage, fake route, broken RTL/mobile focus, global-filter overclaim or weakened RLS/guard/audit occurs.</x:v>
      </x:c>
    </x:row>
    <x:row r="21" ht="88" customHeight="1">
      <x:c r="A21" s="74" t="str">
        <x:v>CD-032</x:v>
      </x:c>
      <x:c r="B21" s="74" t="str">
        <x:v>SCR-WEB-500</x:v>
      </x:c>
      <x:c r="C21" s="74" t="str">
        <x:v>Operations Center and authenticated map</x:v>
      </x:c>
      <x:c r="D21" s="74" t="str">
        <x:v>Operations</x:v>
      </x:c>
      <x:c r="E21" s="74" t="str">
        <x:v>P1</x:v>
      </x:c>
      <x:c r="F21" s="74" t="str">
        <x:v>Current routes are projected; region zones are approximate; notifications provider pending; avoid over-tracking inspectors.</x:v>
      </x:c>
      <x:c r="G21" s="74" t="str">
        <x:v>Show the relevant negative/degraded state and annotate the recovery, truth label and owner.</x:v>
      </x:c>
      <x:c r="H21" s="74" t="str">
        <x:v>Preserve accepted route, state, RBAC, audit and data contracts.</x:v>
      </x:c>
      <x:c r="I21" s="74" t="str">
        <x:v>Low</x:v>
      </x:c>
      <x:c r="J21" s="74" t="str">
        <x:v>Primary + outlier PNG; acceptance trace; code-path handoff; reviewer decision</x:v>
      </x:c>
      <x:c r="K21" s="74" t="str">
        <x:v>Three composition hypotheses; one task-reducing signature interaction; pass the no-brand genericity test.</x:v>
      </x:c>
      <x:c r="L21" s="74" t="str">
        <x:v>WIRING_MAP must trace UI → server → data/RPC/storage → RLS/role → transition → audit → side effect → tests/evidence.</x:v>
      </x:c>
      <x:c r="M21" s="79" t="str">
        <x:v>Shared Web/Operations shell V1</x:v>
      </x:c>
      <x:c r="N21" s="79" t="str">
        <x:v>Dashboard / Operations Center · reuse TASK-WEB-SHELL-001 exactly; design page content and page-specific filters only. P0/P1 if role leakage, fake route, broken RTL/mobile focus, global-filter overclaim or weakened RLS/guard/audit occurs.</x:v>
      </x:c>
    </x:row>
    <x:row r="22" ht="88" customHeight="1">
      <x:c r="A22" s="68" t="str">
        <x:v>CD-004</x:v>
      </x:c>
      <x:c r="B22" s="68" t="str">
        <x:v>SCR-ADM-001</x:v>
      </x:c>
      <x:c r="C22" s="68" t="str">
        <x:v>Admin control-plane home</x:v>
      </x:c>
      <x:c r="D22" s="68" t="str">
        <x:v>Admin</x:v>
      </x:c>
      <x:c r="E22" s="68" t="str">
        <x:v>P1</x:v>
      </x:c>
      <x:c r="F22" s="68" t="str">
        <x:v>Current page shows counts but not approval/dependency health; notification/SLA lacks dedicated route; freshness must be visible.</x:v>
      </x:c>
      <x:c r="G22" s="68" t="str">
        <x:v>Show the relevant negative/degraded state and annotate the recovery, truth label and owner.</x:v>
      </x:c>
      <x:c r="H22" s="68" t="str">
        <x:v>Preserve accepted route, state, RBAC, audit and data contracts.</x:v>
      </x:c>
      <x:c r="I22" s="68" t="str">
        <x:v>Low</x:v>
      </x:c>
      <x:c r="J22" s="68" t="str">
        <x:v>Primary + outlier PNG; acceptance trace; code-path handoff; reviewer decision</x:v>
      </x:c>
      <x:c r="K22" s="68" t="str">
        <x:v>Three composition hypotheses; one task-reducing signature interaction; pass the no-brand genericity test.</x:v>
      </x:c>
      <x:c r="L22" s="68" t="str">
        <x:v>WIRING_MAP must trace UI → server → data/RPC/storage → RLS/role → transition → audit → side effect → tests/evidence.</x:v>
      </x:c>
      <x:c r="M22" s="73" t="str">
        <x:v>Shared Admin control-plane shell V1</x:v>
      </x:c>
      <x:c r="N22" s="73" t="str">
        <x:v>Approval &amp; Configuration · server-role-scoped group; no CRUD-only or unsupported placeholder tab. P0/P1 if role leakage, fake route, broken RTL/mobile focus, global-filter overclaim or weakened RLS/guard/audit occurs.</x:v>
      </x:c>
    </x:row>
    <x:row r="23" ht="88" customHeight="1">
      <x:c r="A23" s="74" t="str">
        <x:v>CD-005</x:v>
      </x:c>
      <x:c r="B23" s="74" t="str">
        <x:v>SCR-ADM-010</x:v>
      </x:c>
      <x:c r="C23" s="74" t="str">
        <x:v>Regulation library</x:v>
      </x:c>
      <x:c r="D23" s="74" t="str">
        <x:v>Admin</x:v>
      </x:c>
      <x:c r="E23" s="74" t="str">
        <x:v>P1</x:v>
      </x:c>
      <x:c r="F23" s="74" t="str">
        <x:v>Legal text may be long and bilingual; list must not imply editing a published record; impact counts need source timestamps.</x:v>
      </x:c>
      <x:c r="G23" s="74" t="str">
        <x:v>Show the relevant negative/degraded state and annotate the recovery, truth label and owner.</x:v>
      </x:c>
      <x:c r="H23" s="74" t="str">
        <x:v>Preserve accepted route, state, RBAC, audit and data contracts.</x:v>
      </x:c>
      <x:c r="I23" s="74" t="str">
        <x:v>Low</x:v>
      </x:c>
      <x:c r="J23" s="74" t="str">
        <x:v>Primary + outlier PNG; acceptance trace; code-path handoff; reviewer decision</x:v>
      </x:c>
      <x:c r="K23" s="74" t="str">
        <x:v>Three composition hypotheses; one task-reducing signature interaction; pass the no-brand genericity test.</x:v>
      </x:c>
      <x:c r="L23" s="74" t="str">
        <x:v>WIRING_MAP must trace UI → server → data/RPC/storage → RLS/role → transition → audit → side effect → tests/evidence.</x:v>
      </x:c>
      <x:c r="M23" s="79" t="str">
        <x:v>Shared Admin control-plane shell V1</x:v>
      </x:c>
      <x:c r="N23" s="79" t="str">
        <x:v>Compliance Library · server-role-scoped group; no CRUD-only or unsupported placeholder tab. P0/P1 if role leakage, fake route, broken RTL/mobile focus, global-filter overclaim or weakened RLS/guard/audit occurs.</x:v>
      </x:c>
    </x:row>
    <x:row r="24" ht="88" customHeight="1">
      <x:c r="A24" s="68" t="str">
        <x:v>CD-006</x:v>
      </x:c>
      <x:c r="B24" s="68" t="str">
        <x:v>SCR-ADM-011</x:v>
      </x:c>
      <x:c r="C24" s="68" t="str">
        <x:v>Regulation detail and version</x:v>
      </x:c>
      <x:c r="D24" s="68" t="str">
        <x:v>Admin</x:v>
      </x:c>
      <x:c r="E24" s="68" t="str">
        <x:v>P1</x:v>
      </x:c>
      <x:c r="F24" s="68" t="str">
        <x:v>Bilingual clause display and long legal text; maker-checker role; unresolved mappings must block publish.</x:v>
      </x:c>
      <x:c r="G24" s="68" t="str">
        <x:v>Show the relevant negative/degraded state and annotate the recovery, truth label and owner.</x:v>
      </x:c>
      <x:c r="H24" s="68" t="str">
        <x:v>Preserve accepted route, state, RBAC, audit and data contracts.</x:v>
      </x:c>
      <x:c r="I24" s="68" t="str">
        <x:v>Low</x:v>
      </x:c>
      <x:c r="J24" s="68" t="str">
        <x:v>Primary + outlier PNG; acceptance trace; code-path handoff; reviewer decision</x:v>
      </x:c>
      <x:c r="K24" s="68" t="str">
        <x:v>Three composition hypotheses; one task-reducing signature interaction; pass the no-brand genericity test.</x:v>
      </x:c>
      <x:c r="L24" s="68" t="str">
        <x:v>WIRING_MAP must trace UI → server → data/RPC/storage → RLS/role → transition → audit → side effect → tests/evidence.</x:v>
      </x:c>
      <x:c r="M24" s="73" t="str">
        <x:v>Shared Admin control-plane shell V1</x:v>
      </x:c>
      <x:c r="N24" s="73" t="str">
        <x:v>Compliance Library · server-role-scoped group; no CRUD-only or unsupported placeholder tab. P0/P1 if role leakage, fake route, broken RTL/mobile focus, global-filter overclaim or weakened RLS/guard/audit occurs.</x:v>
      </x:c>
    </x:row>
    <x:row r="25" ht="88" customHeight="1">
      <x:c r="A25" s="74" t="str">
        <x:v>CD-007</x:v>
      </x:c>
      <x:c r="B25" s="74" t="str">
        <x:v>SCR-ADM-020</x:v>
      </x:c>
      <x:c r="C25" s="74" t="str">
        <x:v>Inspection item catalogue</x:v>
      </x:c>
      <x:c r="D25" s="74" t="str">
        <x:v>Admin</x:v>
      </x:c>
      <x:c r="E25" s="74" t="str">
        <x:v>P1</x:v>
      </x:c>
      <x:c r="F25" s="74" t="str">
        <x:v>Changing a reused item can affect multiple packages; Arabic guidance length; evidence policy must come from configuration.</x:v>
      </x:c>
      <x:c r="G25" s="74" t="str">
        <x:v>Show the relevant negative/degraded state and annotate the recovery, truth label and owner.</x:v>
      </x:c>
      <x:c r="H25" s="74" t="str">
        <x:v>Preserve accepted route, state, RBAC, audit and data contracts.</x:v>
      </x:c>
      <x:c r="I25" s="74" t="str">
        <x:v>Low</x:v>
      </x:c>
      <x:c r="J25" s="74" t="str">
        <x:v>Primary + outlier PNG; acceptance trace; code-path handoff; reviewer decision</x:v>
      </x:c>
      <x:c r="K25" s="74" t="str">
        <x:v>Three composition hypotheses; one task-reducing signature interaction; pass the no-brand genericity test.</x:v>
      </x:c>
      <x:c r="L25" s="74" t="str">
        <x:v>WIRING_MAP must trace UI → server → data/RPC/storage → RLS/role → transition → audit → side effect → tests/evidence.</x:v>
      </x:c>
      <x:c r="M25" s="79" t="str">
        <x:v>Shared Admin control-plane shell V1</x:v>
      </x:c>
      <x:c r="N25" s="79" t="str">
        <x:v>Administration · server-role-scoped group; no CRUD-only or unsupported placeholder tab. P0/P1 if role leakage, fake route, broken RTL/mobile focus, global-filter overclaim or weakened RLS/guard/audit occurs.</x:v>
      </x:c>
    </x:row>
    <x:row r="26" ht="88" customHeight="1">
      <x:c r="A26" s="68" t="str">
        <x:v>CD-008</x:v>
      </x:c>
      <x:c r="B26" s="68" t="str">
        <x:v>SCR-ADM-030</x:v>
      </x:c>
      <x:c r="C26" s="68" t="str">
        <x:v>Package library</x:v>
      </x:c>
      <x:c r="D26" s="68" t="str">
        <x:v>Admin</x:v>
      </x:c>
      <x:c r="E26" s="68" t="str">
        <x:v>P1</x:v>
      </x:c>
      <x:c r="F26" s="68" t="str">
        <x:v>Version immutability and effective-date overlap; preview must match field runtime; package size/offline footprint.</x:v>
      </x:c>
      <x:c r="G26" s="68" t="str">
        <x:v>Show the relevant negative/degraded state and annotate the recovery, truth label and owner.</x:v>
      </x:c>
      <x:c r="H26" s="68" t="str">
        <x:v>Preserve accepted route, state, RBAC, audit and data contracts.</x:v>
      </x:c>
      <x:c r="I26" s="68" t="str">
        <x:v>Low</x:v>
      </x:c>
      <x:c r="J26" s="68" t="str">
        <x:v>Primary + outlier PNG; acceptance trace; code-path handoff; reviewer decision</x:v>
      </x:c>
      <x:c r="K26" s="68" t="str">
        <x:v>Three composition hypotheses; one task-reducing signature interaction; pass the no-brand genericity test.</x:v>
      </x:c>
      <x:c r="L26" s="68" t="str">
        <x:v>WIRING_MAP must trace UI → server → data/RPC/storage → RLS/role → transition → audit → side effect → tests/evidence.</x:v>
      </x:c>
      <x:c r="M26" s="73" t="str">
        <x:v>Shared Admin control-plane shell V1</x:v>
      </x:c>
      <x:c r="N26" s="73" t="str">
        <x:v>Packages &amp; Surveys · server-role-scoped group; no CRUD-only or unsupported placeholder tab. P0/P1 if role leakage, fake route, broken RTL/mobile focus, global-filter overclaim or weakened RLS/guard/audit occurs.</x:v>
      </x:c>
    </x:row>
    <x:row r="27" ht="88" customHeight="1">
      <x:c r="A27" s="74" t="str">
        <x:v>CD-009</x:v>
      </x:c>
      <x:c r="B27" s="74" t="str">
        <x:v>SCR-ADM-031</x:v>
      </x:c>
      <x:c r="C27" s="74" t="str">
        <x:v>Package and form designer</x:v>
      </x:c>
      <x:c r="D27" s="74" t="str">
        <x:v>Admin</x:v>
      </x:c>
      <x:c r="E27" s="74" t="str">
        <x:v>P1</x:v>
      </x:c>
      <x:c r="F27" s="74" t="str">
        <x:v>Keyboard reordering; RTL preview; offline behavior; dependency impact; one screen can become too dense without focus mode.</x:v>
      </x:c>
      <x:c r="G27" s="74" t="str">
        <x:v>Show the relevant negative/degraded state and annotate the recovery, truth label and owner.</x:v>
      </x:c>
      <x:c r="H27" s="74" t="str">
        <x:v>Preserve accepted route, state, RBAC, audit and data contracts.</x:v>
      </x:c>
      <x:c r="I27" s="74" t="str">
        <x:v>Low</x:v>
      </x:c>
      <x:c r="J27" s="74" t="str">
        <x:v>Primary + outlier PNG; acceptance trace; code-path handoff; reviewer decision</x:v>
      </x:c>
      <x:c r="K27" s="74" t="str">
        <x:v>Three composition hypotheses; one task-reducing signature interaction; pass the no-brand genericity test.</x:v>
      </x:c>
      <x:c r="L27" s="74" t="str">
        <x:v>WIRING_MAP must trace UI → server → data/RPC/storage → RLS/role → transition → audit → side effect → tests/evidence.</x:v>
      </x:c>
      <x:c r="M27" s="79" t="str">
        <x:v>Shared Admin control-plane shell V1</x:v>
      </x:c>
      <x:c r="N27" s="79" t="str">
        <x:v>Packages &amp; Surveys · server-role-scoped group; no CRUD-only or unsupported placeholder tab. P0/P1 if role leakage, fake route, broken RTL/mobile focus, global-filter overclaim or weakened RLS/guard/audit occurs.</x:v>
      </x:c>
    </x:row>
    <x:row r="28" ht="88" customHeight="1">
      <x:c r="A28" s="68" t="str">
        <x:v>CD-010</x:v>
      </x:c>
      <x:c r="B28" s="68" t="str">
        <x:v>SCR-ADM-040</x:v>
      </x:c>
      <x:c r="C28" s="68" t="str">
        <x:v>Violation catalogue</x:v>
      </x:c>
      <x:c r="D28" s="68" t="str">
        <x:v>Admin</x:v>
      </x:c>
      <x:c r="E28" s="68" t="str">
        <x:v>P1</x:v>
      </x:c>
      <x:c r="F28" s="68" t="str">
        <x:v>Severity cannot be communicated by color only; legal basis may be missing; historical references must persist.</x:v>
      </x:c>
      <x:c r="G28" s="68" t="str">
        <x:v>Show the relevant negative/degraded state and annotate the recovery, truth label and owner.</x:v>
      </x:c>
      <x:c r="H28" s="68" t="str">
        <x:v>Preserve accepted route, state, RBAC, audit and data contracts.</x:v>
      </x:c>
      <x:c r="I28" s="68" t="str">
        <x:v>Low</x:v>
      </x:c>
      <x:c r="J28" s="68" t="str">
        <x:v>Primary + outlier PNG; acceptance trace; code-path handoff; reviewer decision</x:v>
      </x:c>
      <x:c r="K28" s="68" t="str">
        <x:v>Three composition hypotheses; one task-reducing signature interaction; pass the no-brand genericity test.</x:v>
      </x:c>
      <x:c r="L28" s="68" t="str">
        <x:v>WIRING_MAP must trace UI → server → data/RPC/storage → RLS/role → transition → audit → side effect → tests/evidence.</x:v>
      </x:c>
      <x:c r="M28" s="73" t="str">
        <x:v>Shared Admin control-plane shell V1</x:v>
      </x:c>
      <x:c r="N28" s="73" t="str">
        <x:v>Enforcement Library · server-role-scoped group; no CRUD-only or unsupported placeholder tab. P0/P1 if role leakage, fake route, broken RTL/mobile focus, global-filter overclaim or weakened RLS/guard/audit occurs.</x:v>
      </x:c>
    </x:row>
    <x:row r="29" ht="88" customHeight="1">
      <x:c r="A29" s="74" t="str">
        <x:v>CD-011</x:v>
      </x:c>
      <x:c r="B29" s="74" t="str">
        <x:v>SCR-ADM-041</x:v>
      </x:c>
      <x:c r="C29" s="74" t="str">
        <x:v>Penalty mapping</x:v>
      </x:c>
      <x:c r="D29" s="74" t="str">
        <x:v>Admin</x:v>
      </x:c>
      <x:c r="E29" s="74" t="str">
        <x:v>P0</x:v>
      </x:c>
      <x:c r="F29" s="74" t="str">
        <x:v>Do not invent monetary values or legal rules; examples must be configuration-derived; maker-checker.</x:v>
      </x:c>
      <x:c r="G29" s="74" t="str">
        <x:v>Show the relevant negative/degraded state and annotate the recovery, truth label and owner.</x:v>
      </x:c>
      <x:c r="H29" s="74" t="str">
        <x:v>Preserve accepted route, state, RBAC, audit and data contracts.</x:v>
      </x:c>
      <x:c r="I29" s="74" t="str">
        <x:v>Medium</x:v>
      </x:c>
      <x:c r="J29" s="74" t="str">
        <x:v>Primary + outlier PNG; acceptance trace; code-path handoff; reviewer decision</x:v>
      </x:c>
      <x:c r="K29" s="74" t="str">
        <x:v>Three composition hypotheses; one task-reducing signature interaction; pass the no-brand genericity test.</x:v>
      </x:c>
      <x:c r="L29" s="74" t="str">
        <x:v>WIRING_MAP must trace UI → server → data/RPC/storage → RLS/role → transition → audit → side effect → tests/evidence.</x:v>
      </x:c>
      <x:c r="M29" s="79" t="str">
        <x:v>Shared Admin control-plane shell V1</x:v>
      </x:c>
      <x:c r="N29" s="79" t="str">
        <x:v>Enforcement Library · server-role-scoped group; no CRUD-only or unsupported placeholder tab. P0/P1 if role leakage, fake route, broken RTL/mobile focus, global-filter overclaim or weakened RLS/guard/audit occurs.</x:v>
      </x:c>
    </x:row>
    <x:row r="30" ht="88" customHeight="1">
      <x:c r="A30" s="68" t="str">
        <x:v>CD-012</x:v>
      </x:c>
      <x:c r="B30" s="68" t="str">
        <x:v>SCR-ADM-050</x:v>
      </x:c>
      <x:c r="C30" s="68" t="str">
        <x:v>Workflow library</x:v>
      </x:c>
      <x:c r="D30" s="68" t="str">
        <x:v>Admin</x:v>
      </x:c>
      <x:c r="E30" s="68" t="str">
        <x:v>P1</x:v>
      </x:c>
      <x:c r="F30" s="68" t="str">
        <x:v>Current route consolidates list and designer; preserve clear mode separation; no direct runtime state mutation.</x:v>
      </x:c>
      <x:c r="G30" s="68" t="str">
        <x:v>Show the relevant negative/degraded state and annotate the recovery, truth label and owner.</x:v>
      </x:c>
      <x:c r="H30" s="68" t="str">
        <x:v>Preserve accepted route, state, RBAC, audit and data contracts.</x:v>
      </x:c>
      <x:c r="I30" s="68" t="str">
        <x:v>Low</x:v>
      </x:c>
      <x:c r="J30" s="68" t="str">
        <x:v>Primary + outlier PNG; acceptance trace; code-path handoff; reviewer decision</x:v>
      </x:c>
      <x:c r="K30" s="68" t="str">
        <x:v>Three composition hypotheses; one task-reducing signature interaction; pass the no-brand genericity test.</x:v>
      </x:c>
      <x:c r="L30" s="68" t="str">
        <x:v>WIRING_MAP must trace UI → server → data/RPC/storage → RLS/role → transition → audit → side effect → tests/evidence.</x:v>
      </x:c>
      <x:c r="M30" s="73" t="str">
        <x:v>Shared Admin control-plane shell V1</x:v>
      </x:c>
      <x:c r="N30" s="73" t="str">
        <x:v>Workflow Configuration · server-role-scoped group; no CRUD-only or unsupported placeholder tab. P0/P1 if role leakage, fake route, broken RTL/mobile focus, global-filter overclaim or weakened RLS/guard/audit occurs.</x:v>
      </x:c>
    </x:row>
    <x:row r="31" ht="88" customHeight="1">
      <x:c r="A31" s="74" t="str">
        <x:v>CD-013</x:v>
      </x:c>
      <x:c r="B31" s="74" t="str">
        <x:v>SCR-ADM-051</x:v>
      </x:c>
      <x:c r="C31" s="74" t="str">
        <x:v>Workflow designer</x:v>
      </x:c>
      <x:c r="D31" s="74" t="str">
        <x:v>Admin</x:v>
      </x:c>
      <x:c r="E31" s="74" t="str">
        <x:v>P1</x:v>
      </x:c>
      <x:c r="F31" s="74" t="str">
        <x:v>Canvas accessibility; RTL; model versioning; test data; visual graph must not imply unimplemented transition types.</x:v>
      </x:c>
      <x:c r="G31" s="74" t="str">
        <x:v>Show the relevant negative/degraded state and annotate the recovery, truth label and owner.</x:v>
      </x:c>
      <x:c r="H31" s="74" t="str">
        <x:v>Preserve accepted route, state, RBAC, audit and data contracts.</x:v>
      </x:c>
      <x:c r="I31" s="74" t="str">
        <x:v>Low</x:v>
      </x:c>
      <x:c r="J31" s="74" t="str">
        <x:v>Primary + outlier PNG; acceptance trace; code-path handoff; reviewer decision</x:v>
      </x:c>
      <x:c r="K31" s="74" t="str">
        <x:v>Three composition hypotheses; one task-reducing signature interaction; pass the no-brand genericity test.</x:v>
      </x:c>
      <x:c r="L31" s="74" t="str">
        <x:v>WIRING_MAP must trace UI → server → data/RPC/storage → RLS/role → transition → audit → side effect → tests/evidence.</x:v>
      </x:c>
      <x:c r="M31" s="79" t="str">
        <x:v>Shared Admin control-plane shell V1</x:v>
      </x:c>
      <x:c r="N31" s="79" t="str">
        <x:v>Workflow Configuration · server-role-scoped group; no CRUD-only or unsupported placeholder tab. P0/P1 if role leakage, fake route, broken RTL/mobile focus, global-filter overclaim or weakened RLS/guard/audit occurs.</x:v>
      </x:c>
    </x:row>
    <x:row r="32" ht="88" customHeight="1">
      <x:c r="A32" s="68" t="str">
        <x:v>CD-014</x:v>
      </x:c>
      <x:c r="B32" s="68" t="str">
        <x:v>SCR-ADM-060</x:v>
      </x:c>
      <x:c r="C32" s="68" t="str">
        <x:v>Risk configuration</x:v>
      </x:c>
      <x:c r="D32" s="68" t="str">
        <x:v>Admin</x:v>
      </x:c>
      <x:c r="E32" s="68" t="str">
        <x:v>P1</x:v>
      </x:c>
      <x:c r="F32" s="68" t="str">
        <x:v>DEC-001 values are interim owner-revisable; avoid implying causal certainty; explain denominator and version.</x:v>
      </x:c>
      <x:c r="G32" s="68" t="str">
        <x:v>Show the relevant negative/degraded state and annotate the recovery, truth label and owner.</x:v>
      </x:c>
      <x:c r="H32" s="68" t="str">
        <x:v>Preserve accepted route, state, RBAC, audit and data contracts.</x:v>
      </x:c>
      <x:c r="I32" s="68" t="str">
        <x:v>Low</x:v>
      </x:c>
      <x:c r="J32" s="68" t="str">
        <x:v>Primary + outlier PNG; acceptance trace; code-path handoff; reviewer decision</x:v>
      </x:c>
      <x:c r="K32" s="68" t="str">
        <x:v>Three composition hypotheses; one task-reducing signature interaction; pass the no-brand genericity test.</x:v>
      </x:c>
      <x:c r="L32" s="68" t="str">
        <x:v>WIRING_MAP must trace UI → server → data/RPC/storage → RLS/role → transition → audit → side effect → tests/evidence.</x:v>
      </x:c>
      <x:c r="M32" s="73" t="str">
        <x:v>Shared Admin control-plane shell V1</x:v>
      </x:c>
      <x:c r="N32" s="73" t="str">
        <x:v>Risk Configuration · server-role-scoped group; no CRUD-only or unsupported placeholder tab. P0/P1 if role leakage, fake route, broken RTL/mobile focus, global-filter overclaim or weakened RLS/guard/audit occurs.</x:v>
      </x:c>
    </x:row>
    <x:row r="33" ht="88" customHeight="1">
      <x:c r="A33" s="74" t="str">
        <x:v>CD-015</x:v>
      </x:c>
      <x:c r="B33" s="74" t="str">
        <x:v>SCR-ADM-070</x:v>
      </x:c>
      <x:c r="C33" s="74" t="str">
        <x:v>GIS and geofence studio</x:v>
      </x:c>
      <x:c r="D33" s="74" t="str">
        <x:v>Admin</x:v>
      </x:c>
      <x:c r="E33" s="74" t="str">
        <x:v>P1</x:v>
      </x:c>
      <x:c r="F33" s="74" t="str">
        <x:v>Provider abstraction; privacy; attribution; thresholds must come from DEC-002; KSA boundaries need authoritative source.</x:v>
      </x:c>
      <x:c r="G33" s="74" t="str">
        <x:v>Show the relevant negative/degraded state and annotate the recovery, truth label and owner.</x:v>
      </x:c>
      <x:c r="H33" s="74" t="str">
        <x:v>Preserve accepted route, state, RBAC, audit and data contracts.</x:v>
      </x:c>
      <x:c r="I33" s="74" t="str">
        <x:v>Low</x:v>
      </x:c>
      <x:c r="J33" s="74" t="str">
        <x:v>Primary + outlier PNG; acceptance trace; code-path handoff; reviewer decision</x:v>
      </x:c>
      <x:c r="K33" s="74" t="str">
        <x:v>Three composition hypotheses; one task-reducing signature interaction; pass the no-brand genericity test.</x:v>
      </x:c>
      <x:c r="L33" s="74" t="str">
        <x:v>WIRING_MAP must trace UI → server → data/RPC/storage → RLS/role → transition → audit → side effect → tests/evidence.</x:v>
      </x:c>
      <x:c r="M33" s="79" t="str">
        <x:v>Shared Admin control-plane shell V1</x:v>
      </x:c>
      <x:c r="N33" s="79" t="str">
        <x:v>GIS Configuration · server-role-scoped group; no CRUD-only or unsupported placeholder tab. P0/P1 if role leakage, fake route, broken RTL/mobile focus, global-filter overclaim or weakened RLS/guard/audit occurs.</x:v>
      </x:c>
    </x:row>
    <x:row r="34" ht="88" customHeight="1">
      <x:c r="A34" s="68" t="str">
        <x:v>CD-016</x:v>
      </x:c>
      <x:c r="B34" s="68" t="str">
        <x:v>SCR-ADM-080</x:v>
      </x:c>
      <x:c r="C34" s="68" t="str">
        <x:v>Notification and SLA rules</x:v>
      </x:c>
      <x:c r="D34" s="68" t="str">
        <x:v>Admin</x:v>
      </x:c>
      <x:c r="E34" s="68" t="str">
        <x:v>P0</x:v>
      </x:c>
      <x:c r="F34" s="68" t="str">
        <x:v>No dedicated route currently; provider adapters remain open; do not imply outbound delivery works when only outbox is present.</x:v>
      </x:c>
      <x:c r="G34" s="68" t="str">
        <x:v>Show the relevant negative/degraded state and annotate the recovery, truth label and owner.</x:v>
      </x:c>
      <x:c r="H34" s="68" t="str">
        <x:v>Preserve accepted route, state, RBAC, audit and data contracts.</x:v>
      </x:c>
      <x:c r="I34" s="68" t="str">
        <x:v>Medium</x:v>
      </x:c>
      <x:c r="J34" s="68" t="str">
        <x:v>Primary + outlier PNG; acceptance trace; code-path handoff; reviewer decision</x:v>
      </x:c>
      <x:c r="K34" s="68" t="str">
        <x:v>Three composition hypotheses; one task-reducing signature interaction; pass the no-brand genericity test.</x:v>
      </x:c>
      <x:c r="L34" s="68" t="str">
        <x:v>WIRING_MAP must trace UI → server → data/RPC/storage → RLS/role → transition → audit → side effect → tests/evidence.</x:v>
      </x:c>
      <x:c r="M34" s="73" t="str">
        <x:v>Shared Admin control-plane shell V1</x:v>
      </x:c>
      <x:c r="N34" s="73" t="str">
        <x:v>Notification Configuration — HANDOFF_BLOCKED · server-role-scoped group; no CRUD-only or unsupported placeholder tab. P0/P1 if role leakage, fake route, broken RTL/mobile focus, global-filter overclaim or weakened RLS/guard/audit occurs.</x:v>
      </x:c>
    </x:row>
    <x:row r="35" ht="88" customHeight="1">
      <x:c r="A35" s="74" t="str">
        <x:v>CD-017</x:v>
      </x:c>
      <x:c r="B35" s="74" t="str">
        <x:v>SCR-ADM-090</x:v>
      </x:c>
      <x:c r="C35" s="74" t="str">
        <x:v>Roles and permissions</x:v>
      </x:c>
      <x:c r="D35" s="74" t="str">
        <x:v>Admin</x:v>
      </x:c>
      <x:c r="E35" s="74" t="str">
        <x:v>P1</x:v>
      </x:c>
      <x:c r="F35" s="74" t="str">
        <x:v>Navigation visibility must follow effective role; RLS remains authority; fallback-to-admin issue needs separate decision.</x:v>
      </x:c>
      <x:c r="G35" s="74" t="str">
        <x:v>Show the relevant negative/degraded state and annotate the recovery, truth label and owner.</x:v>
      </x:c>
      <x:c r="H35" s="74" t="str">
        <x:v>Preserve accepted route, state, RBAC, audit and data contracts.</x:v>
      </x:c>
      <x:c r="I35" s="74" t="str">
        <x:v>Low</x:v>
      </x:c>
      <x:c r="J35" s="74" t="str">
        <x:v>Primary + outlier PNG; acceptance trace; code-path handoff; reviewer decision</x:v>
      </x:c>
      <x:c r="K35" s="74" t="str">
        <x:v>Three composition hypotheses; one task-reducing signature interaction; pass the no-brand genericity test.</x:v>
      </x:c>
      <x:c r="L35" s="74" t="str">
        <x:v>WIRING_MAP must trace UI → server → data/RPC/storage → RLS/role → transition → audit → side effect → tests/evidence.</x:v>
      </x:c>
      <x:c r="M35" s="79" t="str">
        <x:v>Shared Admin control-plane shell V1</x:v>
      </x:c>
      <x:c r="N35" s="79" t="str">
        <x:v>Users &amp; Roles · server-role-scoped group; no CRUD-only or unsupported placeholder tab. P0/P1 if role leakage, fake route, broken RTL/mobile focus, global-filter overclaim or weakened RLS/guard/audit occurs.</x:v>
      </x:c>
    </x:row>
    <x:row r="36" ht="88" customHeight="1">
      <x:c r="A36" s="68" t="str">
        <x:v>CD-018</x:v>
      </x:c>
      <x:c r="B36" s="68" t="str">
        <x:v>ADM-LOCALIZATION</x:v>
      </x:c>
      <x:c r="C36" s="68" t="str">
        <x:v>Localization studio</x:v>
      </x:c>
      <x:c r="D36" s="68" t="str">
        <x:v>Admin</x:v>
      </x:c>
      <x:c r="E36" s="68" t="str">
        <x:v>P1</x:v>
      </x:c>
      <x:c r="F36" s="68" t="str">
        <x:v>Human Arabic review remains pending; screen context images may be stale; role is not in the canonical persona list.</x:v>
      </x:c>
      <x:c r="G36" s="68" t="str">
        <x:v>Show the relevant negative/degraded state and annotate the recovery, truth label and owner.</x:v>
      </x:c>
      <x:c r="H36" s="68" t="str">
        <x:v>Requires explicit product/security confirmation if behavior changes.</x:v>
      </x:c>
      <x:c r="I36" s="68" t="str">
        <x:v>Low</x:v>
      </x:c>
      <x:c r="J36" s="68" t="str">
        <x:v>Primary + outlier PNG; acceptance trace; code-path handoff; reviewer decision</x:v>
      </x:c>
      <x:c r="K36" s="68" t="str">
        <x:v>Three composition hypotheses; one task-reducing signature interaction; pass the no-brand genericity test.</x:v>
      </x:c>
      <x:c r="L36" s="68" t="str">
        <x:v>WIRING_MAP must trace UI → server → data/RPC/storage → RLS/role → transition → audit → side effect → tests/evidence.</x:v>
      </x:c>
      <x:c r="M36" s="73" t="str">
        <x:v>Shared Admin control-plane shell V1</x:v>
      </x:c>
      <x:c r="N36" s="73" t="str">
        <x:v>Administration · server-role-scoped group; no CRUD-only or unsupported placeholder tab. P0/P1 if role leakage, fake route, broken RTL/mobile focus, global-filter overclaim or weakened RLS/guard/audit occurs.</x:v>
      </x:c>
    </x:row>
    <x:row r="37" ht="88" customHeight="1">
      <x:c r="A37" s="74" t="str">
        <x:v>CD-019</x:v>
      </x:c>
      <x:c r="B37" s="74" t="str">
        <x:v>ADM-AUDIT</x:v>
      </x:c>
      <x:c r="C37" s="74" t="str">
        <x:v>Audit trail browser</x:v>
      </x:c>
      <x:c r="D37" s="74" t="str">
        <x:v>Admin</x:v>
      </x:c>
      <x:c r="E37" s="74" t="str">
        <x:v>P1</x:v>
      </x:c>
      <x:c r="F37" s="74" t="str">
        <x:v>Retention/export policy; privacy masking; tamper evidence; timestamps/time zone; audit UI cannot prove backend immutability alone.</x:v>
      </x:c>
      <x:c r="G37" s="74" t="str">
        <x:v>Show the relevant negative/degraded state and annotate the recovery, truth label and owner.</x:v>
      </x:c>
      <x:c r="H37" s="74" t="str">
        <x:v>Requires explicit product/security confirmation if behavior changes.</x:v>
      </x:c>
      <x:c r="I37" s="74" t="str">
        <x:v>Low</x:v>
      </x:c>
      <x:c r="J37" s="74" t="str">
        <x:v>Primary + outlier PNG; acceptance trace; code-path handoff; reviewer decision</x:v>
      </x:c>
      <x:c r="K37" s="74" t="str">
        <x:v>Three composition hypotheses; one task-reducing signature interaction; pass the no-brand genericity test.</x:v>
      </x:c>
      <x:c r="L37" s="74" t="str">
        <x:v>WIRING_MAP must trace UI → server → data/RPC/storage → RLS/role → transition → audit → side effect → tests/evidence.</x:v>
      </x:c>
      <x:c r="M37" s="79" t="str">
        <x:v>Shared Admin control-plane shell V1</x:v>
      </x:c>
      <x:c r="N37" s="79" t="str">
        <x:v>Administration · server-role-scoped group; no CRUD-only or unsupported placeholder tab. P0/P1 if role leakage, fake route, broken RTL/mobile focus, global-filter overclaim or weakened RLS/guard/audit occurs.</x:v>
      </x:c>
    </x:row>
    <x:row r="38" ht="88" customHeight="1">
      <x:c r="A38" s="68" t="str">
        <x:v>CD-033</x:v>
      </x:c>
      <x:c r="B38" s="68" t="str">
        <x:v>SCR-IPAD-600</x:v>
      </x:c>
      <x:c r="C38" s="68" t="str">
        <x:v>Assigned visits — Today</x:v>
      </x:c>
      <x:c r="D38" s="68" t="str">
        <x:v>iPad</x:v>
      </x:c>
      <x:c r="E38" s="68" t="str">
        <x:v>P1</x:v>
      </x:c>
      <x:c r="F38" s="68" t="str">
        <x:v>Current page has analytics that may compete with today’s job; shared Shell exposes irrelevant modules; 48px targets.</x:v>
      </x:c>
      <x:c r="G38" s="68" t="str">
        <x:v>Show the relevant negative/degraded state and annotate the recovery, truth label and owner.</x:v>
      </x:c>
      <x:c r="H38" s="68" t="str">
        <x:v>Preserve accepted route, state, RBAC, audit and data contracts.</x:v>
      </x:c>
      <x:c r="I38" s="68" t="str">
        <x:v>Low</x:v>
      </x:c>
      <x:c r="J38" s="68" t="str">
        <x:v>Primary + outlier PNG; acceptance trace; code-path handoff; reviewer decision</x:v>
      </x:c>
      <x:c r="K38" s="68" t="str">
        <x:v>Three composition hypotheses; one task-reducing signature interaction; pass the no-brand genericity test.</x:v>
      </x:c>
      <x:c r="L38" s="68" t="str">
        <x:v>WIRING_MAP must trace UI → server → data/RPC/storage → RLS/role → transition → audit → side effect → tests/evidence.</x:v>
      </x:c>
      <x:c r="M38" s="73" t="str">
        <x:v>Dedicated iPad field shell</x:v>
      </x:c>
      <x:c r="N38" s="73" t="str">
        <x:v>Keep field tabs, sync truth and touch-first hierarchy; do not import the desktop sidebar. P0/P1 if role leakage, fake route, broken RTL/mobile focus, global-filter overclaim or weakened RLS/guard/audit occurs.</x:v>
      </x:c>
    </x:row>
    <x:row r="39" ht="88" customHeight="1">
      <x:c r="A39" s="74" t="str">
        <x:v>CD-034</x:v>
      </x:c>
      <x:c r="B39" s="74" t="str">
        <x:v>SCR-IPAD-610</x:v>
      </x:c>
      <x:c r="C39" s="74" t="str">
        <x:v>Inspector startup pack</x:v>
      </x:c>
      <x:c r="D39" s="74" t="str">
        <x:v>iPad</x:v>
      </x:c>
      <x:c r="E39" s="74" t="str">
        <x:v>P1</x:v>
      </x:c>
      <x:c r="F39" s="74" t="str">
        <x:v>Package hash/version; external tile limitation; background downloads; restart recovery; user must not bypass blockers.</x:v>
      </x:c>
      <x:c r="G39" s="74" t="str">
        <x:v>Show the relevant negative/degraded state and annotate the recovery, truth label and owner.</x:v>
      </x:c>
      <x:c r="H39" s="74" t="str">
        <x:v>Preserve accepted route, state, RBAC, audit and data contracts.</x:v>
      </x:c>
      <x:c r="I39" s="74" t="str">
        <x:v>Low</x:v>
      </x:c>
      <x:c r="J39" s="74" t="str">
        <x:v>Primary + outlier PNG; acceptance trace; code-path handoff; reviewer decision</x:v>
      </x:c>
      <x:c r="K39" s="74" t="str">
        <x:v>Three composition hypotheses; one task-reducing signature interaction; pass the no-brand genericity test.</x:v>
      </x:c>
      <x:c r="L39" s="74" t="str">
        <x:v>WIRING_MAP must trace UI → server → data/RPC/storage → RLS/role → transition → audit → side effect → tests/evidence.</x:v>
      </x:c>
      <x:c r="M39" s="79" t="str">
        <x:v>Dedicated iPad field shell</x:v>
      </x:c>
      <x:c r="N39" s="79" t="str">
        <x:v>Keep field tabs, sync truth and touch-first hierarchy; do not import the desktop sidebar. P0/P1 if role leakage, fake route, broken RTL/mobile focus, global-filter overclaim or weakened RLS/guard/audit occurs.</x:v>
      </x:c>
    </x:row>
    <x:row r="40" ht="88" customHeight="1">
      <x:c r="A40" s="68" t="str">
        <x:v>CD-035</x:v>
      </x:c>
      <x:c r="B40" s="68" t="str">
        <x:v>SCR-IPAD-620</x:v>
      </x:c>
      <x:c r="C40" s="68" t="str">
        <x:v>Journey and geofence check-in</x:v>
      </x:c>
      <x:c r="D40" s="68" t="str">
        <x:v>iPad</x:v>
      </x:c>
      <x:c r="E40" s="68" t="str">
        <x:v>P1</x:v>
      </x:c>
      <x:c r="F40" s="68" t="str">
        <x:v>Provider abstraction; battery/privacy; thresholds from config; no false live navigation claim; indoor GPS exception.</x:v>
      </x:c>
      <x:c r="G40" s="68" t="str">
        <x:v>Show the relevant negative/degraded state and annotate the recovery, truth label and owner.</x:v>
      </x:c>
      <x:c r="H40" s="68" t="str">
        <x:v>Preserve accepted route, state, RBAC, audit and data contracts.</x:v>
      </x:c>
      <x:c r="I40" s="68" t="str">
        <x:v>Low</x:v>
      </x:c>
      <x:c r="J40" s="68" t="str">
        <x:v>Primary + outlier PNG; acceptance trace; code-path handoff; reviewer decision</x:v>
      </x:c>
      <x:c r="K40" s="68" t="str">
        <x:v>Three composition hypotheses; one task-reducing signature interaction; pass the no-brand genericity test.</x:v>
      </x:c>
      <x:c r="L40" s="68" t="str">
        <x:v>WIRING_MAP must trace UI → server → data/RPC/storage → RLS/role → transition → audit → side effect → tests/evidence.</x:v>
      </x:c>
      <x:c r="M40" s="73" t="str">
        <x:v>Dedicated iPad field shell</x:v>
      </x:c>
      <x:c r="N40" s="73" t="str">
        <x:v>Keep field tabs, sync truth and touch-first hierarchy; do not import the desktop sidebar. P0/P1 if role leakage, fake route, broken RTL/mobile focus, global-filter overclaim or weakened RLS/guard/audit occurs.</x:v>
      </x:c>
    </x:row>
    <x:row r="41" ht="88" customHeight="1">
      <x:c r="A41" s="74" t="str">
        <x:v>CD-036</x:v>
      </x:c>
      <x:c r="B41" s="74" t="str">
        <x:v>SCR-IPAD-630</x:v>
      </x:c>
      <x:c r="C41" s="74" t="str">
        <x:v>Inspection workspace</x:v>
      </x:c>
      <x:c r="D41" s="74" t="str">
        <x:v>iPad</x:v>
      </x:c>
      <x:c r="E41" s="74" t="str">
        <x:v>P1</x:v>
      </x:c>
      <x:c r="F41" s="74" t="str">
        <x:v>Large packages; keyboard and touch; conditional rules; scroll position recovery; one source of save truth; 16px inputs.</x:v>
      </x:c>
      <x:c r="G41" s="74" t="str">
        <x:v>Show the relevant negative/degraded state and annotate the recovery, truth label and owner.</x:v>
      </x:c>
      <x:c r="H41" s="74" t="str">
        <x:v>Preserve accepted route, state, RBAC, audit and data contracts.</x:v>
      </x:c>
      <x:c r="I41" s="74" t="str">
        <x:v>Low</x:v>
      </x:c>
      <x:c r="J41" s="74" t="str">
        <x:v>Primary + outlier PNG; acceptance trace; code-path handoff; reviewer decision</x:v>
      </x:c>
      <x:c r="K41" s="74" t="str">
        <x:v>Three composition hypotheses; one task-reducing signature interaction; pass the no-brand genericity test.</x:v>
      </x:c>
      <x:c r="L41" s="74" t="str">
        <x:v>WIRING_MAP must trace UI → server → data/RPC/storage → RLS/role → transition → audit → side effect → tests/evidence.</x:v>
      </x:c>
      <x:c r="M41" s="79" t="str">
        <x:v>Dedicated iPad field shell</x:v>
      </x:c>
      <x:c r="N41" s="79" t="str">
        <x:v>Keep field tabs, sync truth and touch-first hierarchy; do not import the desktop sidebar. P0/P1 if role leakage, fake route, broken RTL/mobile focus, global-filter overclaim or weakened RLS/guard/audit occurs.</x:v>
      </x:c>
    </x:row>
    <x:row r="42" ht="88" customHeight="1">
      <x:c r="A42" s="68" t="str">
        <x:v>CD-037</x:v>
      </x:c>
      <x:c r="B42" s="68" t="str">
        <x:v>SCR-IPAD-640</x:v>
      </x:c>
      <x:c r="C42" s="68" t="str">
        <x:v>Evidence capture and chain of custody</x:v>
      </x:c>
      <x:c r="D42" s="68" t="str">
        <x:v>iPad</x:v>
      </x:c>
      <x:c r="E42" s="68" t="str">
        <x:v>P1</x:v>
      </x:c>
      <x:c r="F42" s="68" t="str">
        <x:v>Chain of custody; EXIF privacy; storage; media provider; no redaction MVP1; deletion semantics; offline hash timing.</x:v>
      </x:c>
      <x:c r="G42" s="68" t="str">
        <x:v>Show the relevant negative/degraded state and annotate the recovery, truth label and owner.</x:v>
      </x:c>
      <x:c r="H42" s="68" t="str">
        <x:v>Preserve accepted route, state, RBAC, audit and data contracts.</x:v>
      </x:c>
      <x:c r="I42" s="68" t="str">
        <x:v>Low</x:v>
      </x:c>
      <x:c r="J42" s="68" t="str">
        <x:v>Primary + outlier PNG; acceptance trace; code-path handoff; reviewer decision</x:v>
      </x:c>
      <x:c r="K42" s="68" t="str">
        <x:v>Three composition hypotheses; one task-reducing signature interaction; pass the no-brand genericity test.</x:v>
      </x:c>
      <x:c r="L42" s="68" t="str">
        <x:v>WIRING_MAP must trace UI → server → data/RPC/storage → RLS/role → transition → audit → side effect → tests/evidence.</x:v>
      </x:c>
      <x:c r="M42" s="73" t="str">
        <x:v>Dedicated iPad field shell</x:v>
      </x:c>
      <x:c r="N42" s="73" t="str">
        <x:v>Keep field tabs, sync truth and touch-first hierarchy; do not import the desktop sidebar. P0/P1 if role leakage, fake route, broken RTL/mobile focus, global-filter overclaim or weakened RLS/guard/audit occurs.</x:v>
      </x:c>
    </x:row>
    <x:row r="43" ht="88" customHeight="1">
      <x:c r="A43" s="74" t="str">
        <x:v>CD-038</x:v>
      </x:c>
      <x:c r="B43" s="74" t="str">
        <x:v>SCR-IPAD-650</x:v>
      </x:c>
      <x:c r="C43" s="74" t="str">
        <x:v>Findings, violations and actions</x:v>
      </x:c>
      <x:c r="D43" s="74" t="str">
        <x:v>iPad</x:v>
      </x:c>
      <x:c r="E43" s="74" t="str">
        <x:v>P1</x:v>
      </x:c>
      <x:c r="F43" s="74" t="str">
        <x:v>Inspector authority boundaries; cardinality; legal basis; offline rule availability; no AI final decision.</x:v>
      </x:c>
      <x:c r="G43" s="74" t="str">
        <x:v>Show the relevant negative/degraded state and annotate the recovery, truth label and owner.</x:v>
      </x:c>
      <x:c r="H43" s="74" t="str">
        <x:v>Preserve accepted route, state, RBAC, audit and data contracts.</x:v>
      </x:c>
      <x:c r="I43" s="74" t="str">
        <x:v>Low</x:v>
      </x:c>
      <x:c r="J43" s="74" t="str">
        <x:v>Primary + outlier PNG; acceptance trace; code-path handoff; reviewer decision</x:v>
      </x:c>
      <x:c r="K43" s="74" t="str">
        <x:v>Three composition hypotheses; one task-reducing signature interaction; pass the no-brand genericity test.</x:v>
      </x:c>
      <x:c r="L43" s="74" t="str">
        <x:v>WIRING_MAP must trace UI → server → data/RPC/storage → RLS/role → transition → audit → side effect → tests/evidence.</x:v>
      </x:c>
      <x:c r="M43" s="79" t="str">
        <x:v>Constrained virtual-session shell</x:v>
      </x:c>
      <x:c r="N43" s="79" t="str">
        <x:v>Factory representatives receive session-only navigation; never expose internal Web/Admin destinations. P0/P1 if role leakage, fake route, broken RTL/mobile focus, global-filter overclaim or weakened RLS/guard/audit occurs.</x:v>
      </x:c>
    </x:row>
    <x:row r="44" ht="88" customHeight="1">
      <x:c r="A44" s="68" t="str">
        <x:v>CD-039</x:v>
      </x:c>
      <x:c r="B44" s="68" t="str">
        <x:v>SCR-IPAD-660</x:v>
      </x:c>
      <x:c r="C44" s="68" t="str">
        <x:v>Pre-submit validation and immutable submission</x:v>
      </x:c>
      <x:c r="D44" s="68" t="str">
        <x:v>iPad</x:v>
      </x:c>
      <x:c r="E44" s="68" t="str">
        <x:v>P1</x:v>
      </x:c>
      <x:c r="F44" s="68" t="str">
        <x:v>Idempotency; queued is not submitted; signatures; PDF generation failure; atomic rollback; exact locked scope.</x:v>
      </x:c>
      <x:c r="G44" s="68" t="str">
        <x:v>Show the relevant negative/degraded state and annotate the recovery, truth label and owner.</x:v>
      </x:c>
      <x:c r="H44" s="68" t="str">
        <x:v>Preserve accepted route, state, RBAC, audit and data contracts.</x:v>
      </x:c>
      <x:c r="I44" s="68" t="str">
        <x:v>Low</x:v>
      </x:c>
      <x:c r="J44" s="68" t="str">
        <x:v>Primary + outlier PNG; acceptance trace; code-path handoff; reviewer decision</x:v>
      </x:c>
      <x:c r="K44" s="68" t="str">
        <x:v>Three composition hypotheses; one task-reducing signature interaction; pass the no-brand genericity test.</x:v>
      </x:c>
      <x:c r="L44" s="68" t="str">
        <x:v>WIRING_MAP must trace UI → server → data/RPC/storage → RLS/role → transition → audit → side effect → tests/evidence.</x:v>
      </x:c>
      <x:c r="M44" s="73" t="str">
        <x:v>Constrained virtual-session shell</x:v>
      </x:c>
      <x:c r="N44" s="73" t="str">
        <x:v>Factory representatives receive session-only navigation; never expose internal Web/Admin destinations. P0/P1 if role leakage, fake route, broken RTL/mobile focus, global-filter overclaim or weakened RLS/guard/audit occurs.</x:v>
      </x:c>
    </x:row>
    <x:row r="45" ht="88" customHeight="1">
      <x:c r="A45" s="74" t="str">
        <x:v>CD-040</x:v>
      </x:c>
      <x:c r="B45" s="74" t="str">
        <x:v>SCR-IPAD-670</x:v>
      </x:c>
      <x:c r="C45" s="74" t="str">
        <x:v>Returned correction and resubmission</x:v>
      </x:c>
      <x:c r="D45" s="74" t="str">
        <x:v>iPad</x:v>
      </x:c>
      <x:c r="E45" s="74" t="str">
        <x:v>P1</x:v>
      </x:c>
      <x:c r="F45" s="74" t="str">
        <x:v>Selective unlock enforcement; due policy; conflict resolution; prior evidence immutability; reviewer comment cannot be edited.</x:v>
      </x:c>
      <x:c r="G45" s="74" t="str">
        <x:v>Show the relevant negative/degraded state and annotate the recovery, truth label and owner.</x:v>
      </x:c>
      <x:c r="H45" s="74" t="str">
        <x:v>Preserve accepted route, state, RBAC, audit and data contracts.</x:v>
      </x:c>
      <x:c r="I45" s="74" t="str">
        <x:v>Low</x:v>
      </x:c>
      <x:c r="J45" s="74" t="str">
        <x:v>Primary + outlier PNG; acceptance trace; code-path handoff; reviewer decision</x:v>
      </x:c>
      <x:c r="K45" s="74" t="str">
        <x:v>Three composition hypotheses; one task-reducing signature interaction; pass the no-brand genericity test.</x:v>
      </x:c>
      <x:c r="L45" s="74" t="str">
        <x:v>WIRING_MAP must trace UI → server → data/RPC/storage → RLS/role → transition → audit → side effect → tests/evidence.</x:v>
      </x:c>
      <x:c r="M45" s="79" t="str">
        <x:v>Constrained virtual-session shell</x:v>
      </x:c>
      <x:c r="N45" s="79" t="str">
        <x:v>Factory representatives receive session-only navigation; never expose internal Web/Admin destinations. P0/P1 if role leakage, fake route, broken RTL/mobile focus, global-filter overclaim or weakened RLS/guard/audit occurs.</x:v>
      </x:c>
    </x:row>
    <x:row r="46" ht="88" customHeight="1">
      <x:c r="A46" s="68" t="str">
        <x:v>CD-041</x:v>
      </x:c>
      <x:c r="B46" s="68" t="str">
        <x:v>SCR-VIR-700</x:v>
      </x:c>
      <x:c r="C46" s="68" t="str">
        <x:v>Virtual appointment and waiting room</x:v>
      </x:c>
      <x:c r="D46" s="68" t="str">
        <x:v>Virtual</x:v>
      </x:c>
      <x:c r="E46" s="68" t="str">
        <x:v>P1</x:v>
      </x:c>
      <x:c r="F46" s="68" t="str">
        <x:v>External participant privacy; Arabic-first; provider pending; appointment access token; time zone.</x:v>
      </x:c>
      <x:c r="G46" s="68" t="str">
        <x:v>Show the relevant negative/degraded state and annotate the recovery, truth label and owner.</x:v>
      </x:c>
      <x:c r="H46" s="68" t="str">
        <x:v>Preserve accepted route, state, RBAC, audit and data contracts.</x:v>
      </x:c>
      <x:c r="I46" s="68" t="str">
        <x:v>Low</x:v>
      </x:c>
      <x:c r="J46" s="68" t="str">
        <x:v>Primary + outlier PNG; acceptance trace; code-path handoff; reviewer decision</x:v>
      </x:c>
      <x:c r="K46" s="68" t="str">
        <x:v>Three composition hypotheses; one task-reducing signature interaction; pass the no-brand genericity test.</x:v>
      </x:c>
      <x:c r="L46" s="68" t="str">
        <x:v>WIRING_MAP must trace UI → server → data/RPC/storage → RLS/role → transition → audit → side effect → tests/evidence.</x:v>
      </x:c>
      <x:c r="M46" s="73" t="str">
        <x:v>Constrained virtual-session shell</x:v>
      </x:c>
      <x:c r="N46" s="73" t="str">
        <x:v>Factory representatives receive session-only navigation; never expose internal Web/Admin destinations. P0/P1 if role leakage, fake route, broken RTL/mobile focus, global-filter overclaim or weakened RLS/guard/audit occurs.</x:v>
      </x:c>
    </x:row>
    <x:row r="47" ht="88" customHeight="1">
      <x:c r="A47" s="74" t="str">
        <x:v>CD-042</x:v>
      </x:c>
      <x:c r="B47" s="74" t="str">
        <x:v>SCR-VIR-710</x:v>
      </x:c>
      <x:c r="C47" s="74" t="str">
        <x:v>Identity and OTP verification</x:v>
      </x:c>
      <x:c r="D47" s="74" t="str">
        <x:v>Virtual</x:v>
      </x:c>
      <x:c r="E47" s="74" t="str">
        <x:v>P1</x:v>
      </x:c>
      <x:c r="F47" s="74" t="str">
        <x:v>Provider availability; SMS/email fallback; manual exception must be supervisor-approved and audited; Arabic numerals/input.</x:v>
      </x:c>
      <x:c r="G47" s="74" t="str">
        <x:v>Show the relevant negative/degraded state and annotate the recovery, truth label and owner.</x:v>
      </x:c>
      <x:c r="H47" s="74" t="str">
        <x:v>Preserve accepted route, state, RBAC, audit and data contracts.</x:v>
      </x:c>
      <x:c r="I47" s="74" t="str">
        <x:v>Low</x:v>
      </x:c>
      <x:c r="J47" s="74" t="str">
        <x:v>Primary + outlier PNG; acceptance trace; code-path handoff; reviewer decision</x:v>
      </x:c>
      <x:c r="K47" s="74" t="str">
        <x:v>Three composition hypotheses; one task-reducing signature interaction; pass the no-brand genericity test.</x:v>
      </x:c>
      <x:c r="L47" s="74" t="str">
        <x:v>WIRING_MAP must trace UI → server → data/RPC/storage → RLS/role → transition → audit → side effect → tests/evidence.</x:v>
      </x:c>
      <x:c r="M47" s="79" t="str">
        <x:v>Constrained virtual-session shell</x:v>
      </x:c>
      <x:c r="N47" s="79" t="str">
        <x:v>Factory representatives receive session-only navigation; never expose internal Web/Admin destinations. P0/P1 if role leakage, fake route, broken RTL/mobile focus, global-filter overclaim or weakened RLS/guard/audit occurs.</x:v>
      </x:c>
    </x:row>
    <x:row r="48" ht="88" customHeight="1">
      <x:c r="A48" s="68" t="str">
        <x:v>CD-043</x:v>
      </x:c>
      <x:c r="B48" s="68" t="str">
        <x:v>SCR-VIR-720</x:v>
      </x:c>
      <x:c r="C48" s="68" t="str">
        <x:v>Virtual inspection session</x:v>
      </x:c>
      <x:c r="D48" s="68" t="str">
        <x:v>Virtual</x:v>
      </x:c>
      <x:c r="E48" s="68" t="str">
        <x:v>P0</x:v>
      </x:c>
      <x:c r="F48" s="68" t="str">
        <x:v>No integrated video provider; recording consent/retention; bandwidth; external participant accessibility; closure must create review-ready handoff.</x:v>
      </x:c>
      <x:c r="G48" s="68" t="str">
        <x:v>Show the relevant negative/degraded state and annotate the recovery, truth label and owner.</x:v>
      </x:c>
      <x:c r="H48" s="68" t="str">
        <x:v>Preserve accepted route, state, RBAC, audit and data contracts.</x:v>
      </x:c>
      <x:c r="I48" s="68" t="str">
        <x:v>Medium</x:v>
      </x:c>
      <x:c r="J48" s="68" t="str">
        <x:v>Primary + outlier PNG; acceptance trace; code-path handoff; reviewer decision</x:v>
      </x:c>
      <x:c r="K48" s="68" t="str">
        <x:v>Three composition hypotheses; one task-reducing signature interaction; pass the no-brand genericity test.</x:v>
      </x:c>
      <x:c r="L48" s="68" t="str">
        <x:v>WIRING_MAP must trace UI → server → data/RPC/storage → RLS/role → transition → audit → side effect → tests/evidence.</x:v>
      </x:c>
      <x:c r="M48" s="73" t="str">
        <x:v>Report / receipt surface</x:v>
      </x:c>
      <x:c r="N48" s="73" t="str">
        <x:v>Preserve immutable report provenance; do not invent a new global tab or expose internal navigation to external readers. P0/P1 if role leakage, fake route, broken RTL/mobile focus, global-filter overclaim or weakened RLS/guard/audit occurs.</x:v>
      </x:c>
    </x:row>
  </x:sheetData>
  <x:mergeCells>
    <x:mergeCell ref="A1:J2"/>
  </x:mergeCells>
  <x:conditionalFormatting sqref="E6:E48">
    <x:cfRule type="containsText" dxfId="6" priority="1" operator="containsText" text="P0"/>
  </x:conditionalFormatting>
  <x:pageMargins left="0.7" right="0.7" top="0.75" bottom="0.75" header="0.3" footer="0.3"/>
  <x:tableParts count="1">
    <x:tablePart xmlns:r="http://schemas.openxmlformats.org/officeDocument/2006/relationships" r:id="R48b0f133670342b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16.670000076293945" hidden="0" customWidth="1"/>
    <x:col min="3" max="3" width="33.33000183105469" hidden="0" customWidth="1"/>
    <x:col min="4" max="4" width="31.110000610351562" hidden="0" customWidth="1"/>
    <x:col min="5" max="5" width="28.889999389648438" hidden="0" customWidth="1"/>
    <x:col min="6" max="6" width="31.110000610351562" hidden="0" customWidth="1"/>
    <x:col min="7" max="7" width="24.440000534057617" hidden="0" customWidth="1"/>
    <x:col min="8" max="8" width="26.670000076293945" hidden="0" customWidth="1"/>
    <x:col min="9" max="9" width="35.560001373291016" hidden="0" customWidth="1"/>
    <x:col min="10" max="10" width="33.33000183105469" hidden="0" customWidth="1"/>
  </x:cols>
  <x:sheetData>
    <x:row r="1" ht="25.5" customHeight="1">
      <x:c r="A1" s="55" t="str">
        <x:v>Submission Guide V3 — Web First + Frozen Shared Shell + Vertical-Slice Gate</x:v>
      </x:c>
      <x:c r="B1" s="55"/>
      <x:c r="C1" s="55"/>
      <x:c r="D1" s="55"/>
      <x:c r="E1" s="55"/>
      <x:c r="F1" s="55"/>
      <x:c r="G1" s="55"/>
      <x:c r="H1" s="55"/>
      <x:c r="I1" s="55"/>
      <x:c r="J1" s="55"/>
    </x:row>
    <x:row r="2">
      <x:c r="A2" s="3"/>
      <x:c r="B2" s="3"/>
      <x:c r="C2" s="3"/>
      <x:c r="D2" s="3"/>
      <x:c r="E2" s="3"/>
      <x:c r="F2" s="3"/>
      <x:c r="G2" s="3"/>
      <x:c r="H2" s="3"/>
    </x:row>
    <x:row r="3">
      <x:c r="A3" t="str">
        <x:v>The sponsor-accepted shell is a frozen implemented dependency, not a per-screen design exercise. Design the page decision; then audit and certify real backend wiring before calling the slice built.</x:v>
      </x:c>
    </x:row>
    <x:row r="5" ht="34.5" customHeight="1">
      <x:c r="A5" s="67" t="str">
        <x:v>Batch</x:v>
      </x:c>
      <x:c r="B5" s="67" t="str">
        <x:v>Screens</x:v>
      </x:c>
      <x:c r="C5" s="67" t="str">
        <x:v>Submit to Claude Design</x:v>
      </x:c>
      <x:c r="D5" s="67" t="str">
        <x:v>Expected shared output</x:v>
      </x:c>
      <x:c r="E5" s="67" t="str">
        <x:v>Design approval gate</x:v>
      </x:c>
      <x:c r="F5" s="67" t="str">
        <x:v>Do not proceed if</x:v>
      </x:c>
      <x:c r="G5" s="67" t="str">
        <x:v>Input-saving rule</x:v>
      </x:c>
      <x:c r="H5" s="67" t="str">
        <x:v>PNG gate</x:v>
      </x:c>
      <x:c r="I5" s="67" t="str">
        <x:v>Post-approval wiring gate</x:v>
      </x:c>
      <x:c r="J5" s="67" t="str">
        <x:v>Vertical-slice completion</x:v>
      </x:c>
    </x:row>
    <x:row r="6" ht="90" customHeight="1">
      <x:c r="A6" s="44" t="str">
        <x:v>B0 — Research + foundation</x:v>
      </x:c>
      <x:c r="B6" s="44" t="str">
        <x:v>Common</x:v>
      </x:c>
      <x:c r="C6" s="44" t="str">
        <x:v>Master constitution, accepted CD-001 family grammar, V2 ambition appendix and R16–R27 research set. Include the V3 shell-family clause for every submitted screen.</x:v>
      </x:c>
      <x:c r="D6" s="44" t="str">
        <x:v>Saqeel tokens, shell rules, research ledger and composition-evaluation method.</x:v>
      </x:c>
      <x:c r="E6" s="44" t="str">
        <x:v>Sponsor accepts the family grammar and research boundaries.</x:v>
      </x:c>
      <x:c r="F6" s="44" t="str">
        <x:v>Arabic/RTL, public-safe maps, status truth or protected behavior is weakened.</x:v>
      </x:c>
      <x:c r="G6" s="44" t="str">
        <x:v>Run once per programme revision.</x:v>
      </x:c>
      <x:c r="H6" s="44" t="str">
        <x:v>Foundation comparison + Arabic/dark/light specimens.</x:v>
      </x:c>
      <x:c r="I6" s="44" t="str">
        <x:v>No implementation; record authority and source commit. Verify the screen uses the approved role-scoped shell or its dedicated channel boundary; do not add unsupported tabs.</x:v>
      </x:c>
      <x:c r="J6" s="44" t="str">
        <x:v>Not applicable.</x:v>
      </x:c>
    </x:row>
    <x:row r="7" ht="90" customHeight="1">
      <x:c r="A7" s="53" t="str">
        <x:v>B1 — Access baseline</x:v>
      </x:c>
      <x:c r="B7" s="53" t="str">
        <x:v>CD-001–003</x:v>
      </x:c>
      <x:c r="C7" s="53" t="str">
        <x:v>Treat CD-001 as locked and CD-002 as design-approved; review CD-003 only when scheduled. Include the V3 shell-family clause for every submitted screen.</x:v>
      </x:c>
      <x:c r="D7" s="53" t="str">
        <x:v>Protected auth grammar and routing state model.</x:v>
      </x:c>
      <x:c r="E7" s="53" t="str">
        <x:v>P0/P1-only reopening for CD-001/002.</x:v>
      </x:c>
      <x:c r="F7" s="53" t="str">
        <x:v>A prompt attempts ordinary redesign or changes protected auth behavior.</x:v>
      </x:c>
      <x:c r="G7" s="53" t="str">
        <x:v>Reference accepted artifacts; do not regenerate.</x:v>
      </x:c>
      <x:c r="H7" s="53" t="str">
        <x:v>Regression evidence only.</x:v>
      </x:c>
      <x:c r="I7" s="53" t="str">
        <x:v>Audit CD-002 reset wiring after sponsor design approval. Verify the screen uses the approved role-scoped shell or its dedicated channel boundary; do not add unsupported tabs.</x:v>
      </x:c>
      <x:c r="J7" s="53" t="str">
        <x:v>Real auth/reset/audit tests pass; no raw errors or auto-login.</x:v>
      </x:c>
    </x:row>
    <x:row r="8" ht="90" customHeight="1">
      <x:c r="A8" s="44" t="str">
        <x:v>B2 — WEB-I · NEXT</x:v>
      </x:c>
      <x:c r="B8" s="44" t="str">
        <x:v>CD-020–027</x:v>
      </x:c>
      <x:c r="C8" s="44" t="str">
        <x:v>Submit one family context, then each tailored V2 delta prompt in order. Include the V3 shell-family clause for every submitted screen.</x:v>
      </x:c>
      <x:c r="D8" s="44" t="str">
        <x:v>Shared planning/visit object model, state ribbon, coordinated selection and constraint language.</x:v>
      </x:c>
      <x:c r="E8" s="44" t="str">
        <x:v>Each screen shows 3 hypotheses, research proof, AR/RTL, themes, responsive and critical states.</x:v>
      </x:c>
      <x:c r="F8" s="44" t="str">
        <x:v>Generic cards/wizards, invented actions/data, false atomicity or unsupported map behavior remains.</x:v>
      </x:c>
      <x:c r="G8" s="44" t="str">
        <x:v>Reuse the shared object/state grammar.</x:v>
      </x:c>
      <x:c r="H8" s="44" t="str">
        <x:v>Primary + Arabic + narrow + highest-risk/degraded state.</x:v>
      </x:c>
      <x:c r="I8" s="44" t="str">
        <x:v>Codex audits every WIRING_MAP; CD-024/025 remain blocked until real actions exist. Verify the screen uses the approved role-scoped shell or its dedicated channel boundary; do not add unsupported tabs.</x:v>
      </x:c>
      <x:c r="J8" s="44" t="str">
        <x:v>Happy + negative + partial failure + RLS/audit/side-effect evidence passes.</x:v>
      </x:c>
    </x:row>
    <x:row r="9" ht="90" customHeight="1">
      <x:c r="A9" s="53" t="str">
        <x:v>B3 — WEB-II · NEXT</x:v>
      </x:c>
      <x:c r="B9" s="53" t="str">
        <x:v>CD-028–031</x:v>
      </x:c>
      <x:c r="C9" s="53" t="str">
        <x:v>Submit review/factory family context, then tailored V2 prompts. Include the V3 shell-family clause for every submitted screen.</x:v>
      </x:c>
      <x:c r="D9" s="53" t="str">
        <x:v>Evidence trace chain, semantic diff, review throughput and provenance-led factory dossier.</x:v>
      </x:c>
      <x:c r="E9" s="53" t="str">
        <x:v>Immutable scope, role masking, non-color diff and missing-data truth are explicit.</x:v>
      </x:c>
      <x:c r="F9" s="53" t="str">
        <x:v>Claim/reassign, media diff, lifecycle data or role visibility is invented.</x:v>
      </x:c>
      <x:c r="G9" s="53" t="str">
        <x:v>Reuse evidence/version/provenance grammar.</x:v>
      </x:c>
      <x:c r="H9" s="53" t="str">
        <x:v>Primary + Arabic + constrained width + comparison/degraded state.</x:v>
      </x:c>
      <x:c r="I9" s="53" t="str">
        <x:v>Resolve page-load writes, duplicate review actions and partial Factory 360 acceptance before implementation. Verify the screen uses the approved role-scoped shell or its dedicated channel boundary; do not add unsupported tabs.</x:v>
      </x:c>
      <x:c r="J9" s="53" t="str">
        <x:v>Canonical review transitions, immutability, RLS/audit and missing-data tests pass.</x:v>
      </x:c>
    </x:row>
    <x:row r="10" ht="90" customHeight="1">
      <x:c r="A10" s="44" t="str">
        <x:v>B4 — Operations</x:v>
      </x:c>
      <x:c r="B10" s="44" t="str">
        <x:v>CD-032</x:v>
      </x:c>
      <x:c r="C10" s="44" t="str">
        <x:v>Run after CD-020–031 so operational map/list grammar inherits verified Web objects. Include the V3 shell-family clause for every submitted screen.</x:v>
      </x:c>
      <x:c r="D10" s="44" t="str">
        <x:v>Coordinated operations map and truth layers.</x:v>
      </x:c>
      <x:c r="E10" s="44" t="str">
        <x:v>Provider, freshness, list alternative and accessibility behavior approved.</x:v>
      </x:c>
      <x:c r="F10" s="44" t="str">
        <x:v>A map is decorative or becomes the sole information channel.</x:v>
      </x:c>
      <x:c r="G10" s="44" t="str">
        <x:v>Reuse verified visit/factory objects.</x:v>
      </x:c>
      <x:c r="H10" s="44" t="str">
        <x:v>Dark/light, list alternative, keyboard and tile failure.</x:v>
      </x:c>
      <x:c r="I10" s="44" t="str">
        <x:v>Verify provider and actual query/update legs. Verify the screen uses the approved role-scoped shell or its dedicated channel boundary; do not add unsupported tabs.</x:v>
      </x:c>
      <x:c r="J10" s="44" t="str">
        <x:v>Runtime provider/degraded/list/a11y evidence passes.</x:v>
      </x:c>
    </x:row>
    <x:row r="11" ht="90" customHeight="1">
      <x:c r="A11" s="53" t="str">
        <x:v>B5A — Admin governance</x:v>
      </x:c>
      <x:c r="B11" s="53" t="str">
        <x:v>CD-004–007, 010–011, 017–019</x:v>
      </x:c>
      <x:c r="C11" s="53" t="str">
        <x:v>Deferred until Web wave. Apply V2 universal challenge and Web-derived object/state grammar. Include the V3 shell-family clause for every submitted screen.</x:v>
      </x:c>
      <x:c r="D11" s="53" t="str">
        <x:v>Governance surfaces anchored to actual runtime consumers.</x:v>
      </x:c>
      <x:c r="E11" s="53" t="str">
        <x:v>No generic CRUD; provenance and downstream impact are explicit.</x:v>
      </x:c>
      <x:c r="F11" s="53" t="str">
        <x:v>Admin design diverges from verified Web object semantics.</x:v>
      </x:c>
      <x:c r="G11" s="53" t="str">
        <x:v>Reuse version/status/audit patterns.</x:v>
      </x:c>
      <x:c r="H11" s="53" t="str">
        <x:v>Primary + compare/blocker/outlier states.</x:v>
      </x:c>
      <x:c r="I11" s="53" t="str">
        <x:v>Audit publish, access and immutable history chains. Verify the screen uses the approved role-scoped shell or its dedicated channel boundary; do not add unsupported tabs.</x:v>
      </x:c>
      <x:c r="J11" s="53" t="str">
        <x:v>Real governed change reaches only intended runtime consumers.</x:v>
      </x:c>
    </x:row>
    <x:row r="12" ht="90" customHeight="1">
      <x:c r="A12" s="44" t="str">
        <x:v>B5B — Admin studios</x:v>
      </x:c>
      <x:c r="B12" s="44" t="str">
        <x:v>CD-008–009, 012–016</x:v>
      </x:c>
      <x:c r="C12" s="44" t="str">
        <x:v>Deferred until Web wave. Apply V2 universal challenge. Include the V3 shell-family clause for every submitted screen.</x:v>
      </x:c>
      <x:c r="D12" s="44" t="str">
        <x:v>Test-before-publish studios with explainable consequences.</x:v>
      </x:c>
      <x:c r="E12" s="44" t="str">
        <x:v>Validation, scenario test and publish impact approved.</x:v>
      </x:c>
      <x:c r="F12" s="44" t="str">
        <x:v>Free-form builder, invented policy or unproven provider behavior appears.</x:v>
      </x:c>
      <x:c r="G12" s="44" t="str">
        <x:v>Reuse consequence/validation grammar.</x:v>
      </x:c>
      <x:c r="H12" s="44" t="str">
        <x:v>Primary + invalid model + published locked.</x:v>
      </x:c>
      <x:c r="I12" s="44" t="str">
        <x:v>Audit definitions, guards, versions, side effects and RLS. Verify the screen uses the approved role-scoped shell or its dedicated channel boundary; do not add unsupported tabs.</x:v>
      </x:c>
      <x:c r="J12" s="44" t="str">
        <x:v>Published version, audit and runtime consumption are evidenced.</x:v>
      </x:c>
    </x:row>
    <x:row r="13" ht="90" customHeight="1">
      <x:c r="A13" s="53" t="str">
        <x:v>B6 — Field</x:v>
      </x:c>
      <x:c r="B13" s="53" t="str">
        <x:v>CD-033–037</x:v>
      </x:c>
      <x:c r="C13" s="53" t="str">
        <x:v>Run after Web visit state model is approved and wired. Include the V3 shell-family clause for every submitted screen.</x:v>
      </x:c>
      <x:c r="D13" s="53" t="str">
        <x:v>Offline-first field grammar, evidence receipts and conflict truth.</x:v>
      </x:c>
      <x:c r="E13" s="53" t="str">
        <x:v>Touch/keyboard, Arabic, offline, sync and immutable submission pass.</x:v>
      </x:c>
      <x:c r="F13" s="53" t="str">
        <x:v>Field becomes a reduced portal or conflicts are silently overwritten.</x:v>
      </x:c>
      <x:c r="G13" s="53" t="str">
        <x:v>Reuse verified visit/evidence states.</x:v>
      </x:c>
      <x:c r="H13" s="53" t="str">
        <x:v>iPad primary + offline/conflict/degraded.</x:v>
      </x:c>
      <x:c r="I13" s="53" t="str">
        <x:v>Audit local queue, server reconciliation, storage and audit. Verify the screen uses the approved role-scoped shell or its dedicated channel boundary; do not add unsupported tabs.</x:v>
      </x:c>
      <x:c r="J13" s="53" t="str">
        <x:v>Offline/online/conflict/security evidence passes.</x:v>
      </x:c>
    </x:row>
    <x:row r="14" ht="90" customHeight="1">
      <x:c r="A14" s="44" t="str">
        <x:v>B7 — Virtual</x:v>
      </x:c>
      <x:c r="B14" s="44" t="str">
        <x:v>CD-038–042</x:v>
      </x:c>
      <x:c r="C14" s="44" t="str">
        <x:v>Run after Web review/evidence grammar is approved and wired. Include the V3 shell-family clause for every submitted screen.</x:v>
      </x:c>
      <x:c r="D14" s="44" t="str">
        <x:v>Consent, session, evidence and degraded-provider grammar.</x:v>
      </x:c>
      <x:c r="E14" s="44" t="str">
        <x:v>Provider/consent/recording truth approved.</x:v>
      </x:c>
      <x:c r="F14" s="44" t="str">
        <x:v>OTP, provider, timing or support policy is invented.</x:v>
      </x:c>
      <x:c r="G14" s="44" t="str">
        <x:v>Reuse evidence and review grammar.</x:v>
      </x:c>
      <x:c r="H14" s="44" t="str">
        <x:v>Primary + denied/degraded/rejoin/timeout.</x:v>
      </x:c>
      <x:c r="I14" s="44" t="str">
        <x:v>Audit provider callbacks, consent, storage, RLS and audit. Verify the screen uses the approved role-scoped shell or its dedicated channel boundary; do not add unsupported tabs.</x:v>
      </x:c>
      <x:c r="J14" s="44" t="str">
        <x:v>Session lifecycle and negative-provider paths pass.</x:v>
      </x:c>
    </x:row>
    <x:row r="15" ht="90" customHeight="1">
      <x:c r="A15" s="53" t="str">
        <x:v>B8 — Final</x:v>
      </x:c>
      <x:c r="B15" s="53" t="str">
        <x:v>CD-043</x:v>
      </x:c>
      <x:c r="C15" s="53" t="str">
        <x:v>Run after upstream states and evidence are stable. Include the V3 shell-family clause for every submitted screen.</x:v>
      </x:c>
      <x:c r="D15" s="53" t="str">
        <x:v>Immutable report receipt and provenance.</x:v>
      </x:c>
      <x:c r="E15" s="53" t="str">
        <x:v>Report truth and version trace approved.</x:v>
      </x:c>
      <x:c r="F15" s="53" t="str">
        <x:v>Final screen hides missing upstream evidence.</x:v>
      </x:c>
      <x:c r="G15" s="53" t="str">
        <x:v>Reuse receipt/provenance grammar.</x:v>
      </x:c>
      <x:c r="H15" s="53" t="str">
        <x:v>Primary + incomplete/failed generation.</x:v>
      </x:c>
      <x:c r="I15" s="53" t="str">
        <x:v>Audit report generation, immutability, access and audit. Verify the screen uses the approved role-scoped shell or its dedicated channel boundary; do not add unsupported tabs.</x:v>
      </x:c>
      <x:c r="J15" s="53" t="str">
        <x:v>End-to-end evidence chain passes.</x:v>
      </x:c>
    </x:row>
  </x:sheetData>
  <x:mergeCells>
    <x:mergeCell ref="A1:H2"/>
  </x:mergeCells>
  <x:pageMargins left="0.7" right="0.7" top="0.75" bottom="0.75" header="0.3" footer="0.3"/>
  <x:tableParts count="1">
    <x:tablePart xmlns:r="http://schemas.openxmlformats.org/officeDocument/2006/relationships" r:id="R02bb132578cf46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30" hidden="0" customWidth="1"/>
    <x:col min="4" max="4" width="25" hidden="0" customWidth="1"/>
    <x:col min="5" max="5" width="48" hidden="0" customWidth="1"/>
    <x:col min="6" max="6" width="48" hidden="0" customWidth="1"/>
    <x:col min="7" max="7" width="50" hidden="0" customWidth="1"/>
    <x:col min="8" max="8" width="32" hidden="0" customWidth="1"/>
    <x:col min="9" max="9" width="54" hidden="0" customWidth="1"/>
    <x:col min="10" max="10" width="58" hidden="0" customWidth="1"/>
    <x:col min="11" max="11" width="58" hidden="0" customWidth="1"/>
    <x:col min="12" max="12" width="50" hidden="0" customWidth="1"/>
    <x:col min="13" max="13" width="42.220001220703125" hidden="0" customWidth="1"/>
    <x:col min="14" max="14" width="43.33000183105469" hidden="0" customWidth="1"/>
    <x:col min="15" max="15" width="35.560001373291016" hidden="0" customWidth="1"/>
    <x:col min="16" max="16" width="33.33000183105469" hidden="0" customWidth="1"/>
    <x:col min="17" max="17" width="40" hidden="0" customWidth="1"/>
    <x:col min="18" max="18" width="40" hidden="0" customWidth="1"/>
  </x:cols>
  <x:sheetData>
    <x:row r="1">
      <x:c r="A1" s="3" t="str">
        <x:v>Claude Design → Claude Code Deterministic Handoff Contract</x:v>
      </x:c>
      <x:c r="B1" s="3"/>
      <x:c r="C1" s="3"/>
      <x:c r="D1" s="3"/>
      <x:c r="E1" s="3"/>
      <x:c r="F1" s="3"/>
      <x:c r="G1" s="3"/>
      <x:c r="H1" s="3"/>
      <x:c r="I1" s="3"/>
      <x:c r="J1" s="3"/>
      <x:c r="K1" s="3"/>
      <x:c r="L1" s="3"/>
      <x:c r="M1" s="3"/>
    </x:row>
    <x:row r="2">
      <x:c r="A2" s="3"/>
      <x:c r="B2" s="3"/>
      <x:c r="C2" s="3"/>
      <x:c r="D2" s="3"/>
      <x:c r="E2" s="3"/>
      <x:c r="F2" s="3"/>
      <x:c r="G2" s="3"/>
      <x:c r="H2" s="3"/>
      <x:c r="I2" s="3"/>
      <x:c r="J2" s="3"/>
      <x:c r="K2" s="3"/>
      <x:c r="L2" s="3"/>
      <x:c r="M2" s="3"/>
    </x:row>
    <x:row r="3">
      <x:c r="A3" s="26" t="str">
        <x:v>Automatic replacement means Claude Code applies only an approved, path-specific manifest on a controlled branch/worktree. Claude Design must not edit or blindly overwrite the repository.</x:v>
      </x:c>
      <x:c r="B3" s="26"/>
      <x:c r="C3" s="26"/>
      <x:c r="D3" s="26"/>
      <x:c r="E3" s="26"/>
      <x:c r="F3" s="26"/>
      <x:c r="G3" s="26"/>
      <x:c r="H3" s="26"/>
      <x:c r="I3" s="26"/>
      <x:c r="J3" s="26"/>
      <x:c r="K3" s="26"/>
      <x:c r="L3" s="26"/>
      <x:c r="M3" s="26"/>
    </x:row>
    <x:row r="5" ht="34.5" customHeight="1">
      <x:c r="A5" s="67" t="str">
        <x:v>Prompt ID</x:v>
      </x:c>
      <x:c r="B5" s="67" t="str">
        <x:v>Screen ID</x:v>
      </x:c>
      <x:c r="C5" s="67" t="str">
        <x:v>Screen</x:v>
      </x:c>
      <x:c r="D5" s="67" t="str">
        <x:v>Route / mode</x:v>
      </x:c>
      <x:c r="E5" s="67" t="str">
        <x:v>Repository-derived candidate files</x:v>
      </x:c>
      <x:c r="F5" s="67" t="str">
        <x:v>Required exact-file discovery</x:v>
      </x:c>
      <x:c r="G5" s="67" t="str">
        <x:v>BEFORE evidence</x:v>
      </x:c>
      <x:c r="H5" s="67" t="str">
        <x:v>Allowed disposition</x:v>
      </x:c>
      <x:c r="I5" s="67" t="str">
        <x:v>AFTER evidence</x:v>
      </x:c>
      <x:c r="J5" s="67" t="str">
        <x:v>Protected behavior</x:v>
      </x:c>
      <x:c r="K5" s="67" t="str">
        <x:v>Required handoff files</x:v>
      </x:c>
      <x:c r="L5" s="67" t="str">
        <x:v>Application order</x:v>
      </x:c>
      <x:c r="M5" s="67" t="str">
        <x:v>Backend wiring map</x:v>
      </x:c>
      <x:c r="N5" s="67" t="str">
        <x:v>Known runtime gap / block</x:v>
      </x:c>
      <x:c r="O5" s="67" t="str">
        <x:v>Completion gate</x:v>
      </x:c>
      <x:c r="P5" s="67" t="str">
        <x:v>Shell implementation files</x:v>
      </x:c>
      <x:c r="Q5" s="67" t="str">
        <x:v>Role/tab placement</x:v>
      </x:c>
      <x:c r="R5" s="67" t="str">
        <x:v>Frozen sponsor-accepted global vs page boundary</x:v>
      </x:c>
    </x:row>
    <x:row r="6" ht="112" customHeight="1">
      <x:c r="A6" s="68" t="str">
        <x:v>CD-001</x:v>
      </x:c>
      <x:c r="B6" s="68" t="str">
        <x:v>AUTH-01</x:v>
      </x:c>
      <x:c r="C6" s="68" t="str">
        <x:v>Unified sign-in — the inspection story</x:v>
      </x:c>
      <x:c r="D6" s="68" t="str">
        <x:v>/login</x:v>
      </x:c>
      <x:c r="E6" s="68" t="str">
        <x:v>apps/web/src/app/login/DemoAccess.tsx; apps/web/src/app/login/LoginClient.tsx; apps/web/src/app/login/SaqeelHero.tsx; apps/web/src/app/login/SaqeelMark.tsx; apps/web/src/app/login/StoryMapInner.tsx; apps/web/src/app/login/StoryPanel.tsx; apps/web/src/app/login/login.css; apps/web/src/app/login/page.tsx</x:v>
      </x:c>
      <x:c r="F6" s="68" t="str">
        <x:v>Follow imports and runtime composition; enumerate every affected .tsx, .ts, .css, localization and asset path. Never submit only a directory.</x:v>
      </x:c>
      <x:c r="G6" s="68" t="str">
        <x:v>For each exact path: current responsibility, relevant component/export/selector/token, behavior/data hooks, and current visual evidence.</x:v>
      </x:c>
      <x:c r="H6" s="68" t="str">
        <x:v>PRESERVE / UPDATE / CREATE / REMOVE. REMOVE requires explicit human approval.</x:v>
      </x:c>
      <x:c r="I6" s="68" t="str">
        <x:v>For each exact path: future responsibility, mapped design node, exact code target, reason, dependency/RTL/theme impact, tests and rollback.</x:v>
      </x:c>
      <x:c r="J6" s="68" t="str">
        <x:v>Routes; handlers/server actions; Supabase schemas/calls; RLS/RBAC; audit; canonical transitions; offline/conflicts; immutability; localization; test selectors; accessibility.</x:v>
      </x:c>
      <x:c r="K6" s="68" t="str">
        <x:v>IMPLEMENTATION_MANIFEST_CD-001.yaml; COMPONENT_MAP_CD-001.csv; CLAUDE_CODE_HANDOFF_CD-001.md; ACCEPTANCE_CHECKLIST_CD-001.md; primary/outlier PNGs</x:v>
      </x:c>
      <x:c r="L6" s="68" t="str">
        <x:v>Semantic tokens → approved assets → shared components → route composition → localization → tests/evidence.</x:v>
      </x:c>
      <x:c r="M6" s="68" t="str">
        <x:v>UI trigger → client → route/server action → validation/guard → table/RPC/storage/provider → RLS/role → canonical transition → audit/notification → tests/evidence</x:v>
      </x:c>
      <x:c r="N6" s="68" t="str">
        <x:v>Locked baseline; regression gate only.</x:v>
      </x:c>
      <x:c r="O6" s="68" t="str">
        <x:v>No change unless P0/P1/security/a11y/protected-behavior blocker.</x:v>
      </x:c>
      <x:c r="P6" s="73" t="str">
        <x:v>Shell.tsx → ShellClient.tsx → shell-navigation.ts → astryx.css</x:v>
      </x:c>
      <x:c r="Q6" s="73" t="str">
        <x:v>Preserve accepted access grammar; never add the business sidebar/topbar to login or reset.</x:v>
      </x:c>
      <x:c r="R6" s="73" t="str">
        <x:v>Public access — no authenticated shell. Global controls remain shared; filters, modes, data states and actions remain owned by this screen's vertical slice.</x:v>
      </x:c>
    </x:row>
    <x:row r="7" ht="112" customHeight="1">
      <x:c r="A7" s="74" t="str">
        <x:v>CD-002</x:v>
      </x:c>
      <x:c r="B7" s="74" t="str">
        <x:v>AUTH-02</x:v>
      </x:c>
      <x:c r="C7" s="74" t="str">
        <x:v>Password recovery and reset</x:v>
      </x:c>
      <x:c r="D7" s="74" t="str">
        <x:v>/login (forgot states); /reset</x:v>
      </x:c>
      <x:c r="E7" s="74" t="str">
        <x:v>apps/web/src/app/login/LoginClient.tsx; apps/web/src/app/reset/ResetClient.tsx; apps/web/src/app/reset/page.tsx</x:v>
      </x:c>
      <x:c r="F7" s="74" t="str">
        <x:v>Follow imports and runtime composition; enumerate every affected .tsx, .ts, .css, localization and asset path. Never submit only a directory.</x:v>
      </x:c>
      <x:c r="G7" s="74" t="str">
        <x:v>For each exact path: current responsibility, relevant component/export/selector/token, behavior/data hooks, and current visual evidence.</x:v>
      </x:c>
      <x:c r="H7" s="74" t="str">
        <x:v>PRESERVE / UPDATE / CREATE / REMOVE. REMOVE requires explicit human approval.</x:v>
      </x:c>
      <x:c r="I7" s="74" t="str">
        <x:v>For each exact path: future responsibility, mapped design node, exact code target, reason, dependency/RTL/theme impact, tests and rollback.</x:v>
      </x:c>
      <x:c r="J7" s="74" t="str">
        <x:v>Routes; handlers/server actions; Supabase schemas/calls; RLS/RBAC; audit; canonical transitions; offline/conflicts; immutability; localization; test selectors; accessibility.</x:v>
      </x:c>
      <x:c r="K7" s="74" t="str">
        <x:v>IMPLEMENTATION_MANIFEST_CD-002.yaml; COMPONENT_MAP_CD-002.csv; CLAUDE_CODE_HANDOFF_CD-002.md; ACCEPTANCE_CHECKLIST_CD-002.md; primary/outlier PNGs</x:v>
      </x:c>
      <x:c r="L7" s="74" t="str">
        <x:v>Semantic tokens → approved assets → shared components → route composition → localization → tests/evidence.</x:v>
      </x:c>
      <x:c r="M7" s="74" t="str">
        <x:v>UI trigger → client → route/server action → validation/guard → table/RPC/storage/provider → RLS/role → canonical transition → audit/notification → tests/evidence</x:v>
      </x:c>
      <x:c r="N7" s="74" t="str">
        <x:v>Sponsor design-approved; audit protected reset/auth behavior before accepting implementation.</x:v>
      </x:c>
      <x:c r="O7" s="74" t="str">
        <x:v>DESIGN_APPROVED → WIRING_AUDIT → IMPLEMENTATION_AUTHORIZED → IMPLEMENTED_UNVERIFIED → VERTICAL_SLICE_PASS → SPONSOR_RUNTIME_ACCEPTED</x:v>
      </x:c>
      <x:c r="P7" s="79" t="str">
        <x:v>Shell.tsx → ShellClient.tsx → shell-navigation.ts → astryx.css</x:v>
      </x:c>
      <x:c r="Q7" s="79" t="str">
        <x:v>Preserve accepted access grammar; never add the business sidebar/topbar to login or reset.</x:v>
      </x:c>
      <x:c r="R7" s="79" t="str">
        <x:v>Public access — no authenticated shell. Global controls remain shared; filters, modes, data states and actions remain owned by this screen's vertical slice.</x:v>
      </x:c>
    </x:row>
    <x:row r="8" ht="112" customHeight="1">
      <x:c r="A8" s="68" t="str">
        <x:v>CD-003</x:v>
      </x:c>
      <x:c r="B8" s="68" t="str">
        <x:v>AUTH-03</x:v>
      </x:c>
      <x:c r="C8" s="68" t="str">
        <x:v>Role resolution, unauthorized and no workspace</x:v>
      </x:c>
      <x:c r="D8" s="68" t="str">
        <x:v>/launch; protected-route state</x:v>
      </x:c>
      <x:c r="E8" s="68" t="str">
        <x:v>apps/web/src/app/launch/page.tsx; apps/web/middleware.ts; apps/web/src/components/Shell.tsx</x:v>
      </x:c>
      <x:c r="F8" s="68" t="str">
        <x:v>Follow imports and runtime composition; enumerate every affected .tsx, .ts, .css, localization and asset path. Never submit only a directory.</x:v>
      </x:c>
      <x:c r="G8" s="68" t="str">
        <x:v>For each exact path: current responsibility, relevant component/export/selector/token, behavior/data hooks, and current visual evidence.</x:v>
      </x:c>
      <x:c r="H8" s="68" t="str">
        <x:v>PRESERVE / UPDATE / CREATE / REMOVE. REMOVE requires explicit human approval.</x:v>
      </x:c>
      <x:c r="I8" s="68" t="str">
        <x:v>For each exact path: future responsibility, mapped design node, exact code target, reason, dependency/RTL/theme impact, tests and rollback.</x:v>
      </x:c>
      <x:c r="J8" s="68" t="str">
        <x:v>Routes; handlers/server actions; Supabase schemas/calls; RLS/RBAC; audit; canonical transitions; offline/conflicts; immutability; localization; test selectors; accessibility.</x:v>
      </x:c>
      <x:c r="K8" s="68" t="str">
        <x:v>IMPLEMENTATION_MANIFEST_CD-003.yaml; COMPONENT_MAP_CD-003.csv; CLAUDE_CODE_HANDOFF_CD-003.md; ACCEPTANCE_CHECKLIST_CD-003.md; primary/outlier PNGs</x:v>
      </x:c>
      <x:c r="L8" s="68" t="str">
        <x:v>Semantic tokens → approved assets → shared components → route composition → localization → tests/evidence.</x:v>
      </x:c>
      <x:c r="M8" s="68" t="str">
        <x:v>UI trigger → client → route/server action → validation/guard → table/RPC/storage/provider → RLS/role → canonical transition → audit/notification → tests/evidence</x:v>
      </x:c>
      <x:c r="N8" s="68" t="str">
        <x:v>Discover against current repository/runtime; unsupported legs are HANDOFF_BLOCKED.</x:v>
      </x:c>
      <x:c r="O8" s="68" t="str">
        <x:v>DESIGN_APPROVED → WIRING_AUDIT → IMPLEMENTATION_AUTHORIZED → IMPLEMENTED_UNVERIFIED → VERTICAL_SLICE_PASS → SPONSOR_RUNTIME_ACCEPTED</x:v>
      </x:c>
      <x:c r="P8" s="73" t="str">
        <x:v>Shell.tsx → ShellClient.tsx → shell-navigation.ts → astryx.css</x:v>
      </x:c>
      <x:c r="Q8" s="73" t="str">
        <x:v>Resolve role server-side before revealing business navigation; no-workspace remains neutral and scoped.</x:v>
      </x:c>
      <x:c r="R8" s="73" t="str">
        <x:v>Access resolution. Global controls remain shared; filters, modes, data states and actions remain owned by this screen's vertical slice.</x:v>
      </x:c>
    </x:row>
    <x:row r="9" ht="112" customHeight="1">
      <x:c r="A9" s="74" t="str">
        <x:v>CD-020</x:v>
      </x:c>
      <x:c r="B9" s="74" t="str">
        <x:v>SCR-WEB-100</x:v>
      </x:c>
      <x:c r="C9" s="74" t="str">
        <x:v>Visit planning home</x:v>
      </x:c>
      <x:c r="D9" s="74" t="str">
        <x:v>/planning</x:v>
      </x:c>
      <x:c r="E9" s="74" t="str">
        <x:v>apps/web/src/app/planning/page.tsx</x:v>
      </x:c>
      <x:c r="F9" s="74" t="str">
        <x:v>Follow imports and runtime composition; enumerate every affected .tsx, .ts, .css, localization and asset path. Never submit only a directory.</x:v>
      </x:c>
      <x:c r="G9" s="74" t="str">
        <x:v>For each exact path: current responsibility, relevant component/export/selector/token, behavior/data hooks, and current visual evidence.</x:v>
      </x:c>
      <x:c r="H9" s="74" t="str">
        <x:v>PRESERVE / UPDATE / CREATE / REMOVE. REMOVE requires explicit human approval.</x:v>
      </x:c>
      <x:c r="I9" s="74" t="str">
        <x:v>For each exact path: future responsibility, mapped design node, exact code target, reason, dependency/RTL/theme impact, tests and rollback.</x:v>
      </x:c>
      <x:c r="J9" s="74" t="str">
        <x:v>Routes; handlers/server actions; Supabase schemas/calls; RLS/RBAC; audit; canonical transitions; offline/conflicts; immutability; localization; test selectors; accessibility.</x:v>
      </x:c>
      <x:c r="K9" s="74" t="str">
        <x:v>IMPLEMENTATION_MANIFEST_CD-020.yaml; COMPONENT_MAP_CD-020.csv; CLAUDE_CODE_HANDOFF_CD-020.md; ACCEPTANCE_CHECKLIST_CD-020.md; primary/outlier PNGs</x:v>
      </x:c>
      <x:c r="L9" s="74" t="str">
        <x:v>Semantic tokens → approved assets → shared components → route composition → localization → tests/evidence.</x:v>
      </x:c>
      <x:c r="M9" s="74" t="str">
        <x:v>route render → role/RLS-safe reads → method guard truth → empty/error/degraded states → AR/RTL/theme/responsive/a11y evidence</x:v>
      </x:c>
      <x:c r="N9" s="74" t="str">
        <x:v>Read-side exists: published package_versions and draft visit_plans. Verify RLS and remove/guard any Admin link unavailable to the planner role.</x:v>
      </x:c>
      <x:c r="O9" s="74" t="str">
        <x:v>DESIGN_APPROVED → WIRING_AUDIT → IMPLEMENTATION_AUTHORIZED → IMPLEMENTED_UNVERIFIED → VERTICAL_SLICE_PASS → SPONSOR_RUNTIME_ACCEPTED</x:v>
      </x:c>
      <x:c r="P9" s="79" t="str">
        <x:v>Shell.tsx → ShellClient.tsx → shell-navigation.ts → astryx.css</x:v>
      </x:c>
      <x:c r="Q9" s="79" t="str">
        <x:v>Planning · reuse TASK-WEB-SHELL-001 exactly; design page content and page-specific filters only.</x:v>
      </x:c>
      <x:c r="R9" s="79" t="str">
        <x:v>Shared Web/Operations shell V1. Global controls remain shared; filters, modes, data states and actions remain owned by this screen's vertical slice.</x:v>
      </x:c>
    </x:row>
    <x:row r="10" ht="112" customHeight="1">
      <x:c r="A10" s="68" t="str">
        <x:v>CD-021</x:v>
      </x:c>
      <x:c r="B10" s="68" t="str">
        <x:v>SCR-WEB-110</x:v>
      </x:c>
      <x:c r="C10" s="68" t="str">
        <x:v>Bulk planning criteria and targeting</x:v>
      </x:c>
      <x:c r="D10" s="68" t="str">
        <x:v>/planning/bulk</x:v>
      </x:c>
      <x:c r="E10" s="68" t="str">
        <x:v>apps/web/src/app/planning/bulk/BulkForm.tsx; apps/web/src/app/planning/bulk/CriteriaBuilder.tsx; apps/web/src/app/planning/bulk/actions.ts; apps/web/src/app/planning/bulk/page.tsx</x:v>
      </x:c>
      <x:c r="F10" s="68" t="str">
        <x:v>Follow imports and runtime composition; enumerate every affected .tsx, .ts, .css, localization and asset path. Never submit only a directory.</x:v>
      </x:c>
      <x:c r="G10" s="68" t="str">
        <x:v>For each exact path: current responsibility, relevant component/export/selector/token, behavior/data hooks, and current visual evidence.</x:v>
      </x:c>
      <x:c r="H10" s="68" t="str">
        <x:v>PRESERVE / UPDATE / CREATE / REMOVE. REMOVE requires explicit human approval.</x:v>
      </x:c>
      <x:c r="I10" s="68" t="str">
        <x:v>For each exact path: future responsibility, mapped design node, exact code target, reason, dependency/RTL/theme impact, tests and rollback.</x:v>
      </x:c>
      <x:c r="J10" s="68" t="str">
        <x:v>Routes; handlers/server actions; Supabase schemas/calls; RLS/RBAC; audit; canonical transitions; offline/conflicts; immutability; localization; test selectors; accessibility.</x:v>
      </x:c>
      <x:c r="K10" s="68" t="str">
        <x:v>IMPLEMENTATION_MANIFEST_CD-021.yaml; COMPONENT_MAP_CD-021.csv; CLAUDE_CODE_HANDOFF_CD-021.md; ACCEPTANCE_CHECKLIST_CD-021.md; primary/outlier PNGs</x:v>
      </x:c>
      <x:c r="L10" s="68" t="str">
        <x:v>Semantic tokens → approved assets → shared components → route composition → localization → tests/evidence.</x:v>
      </x:c>
      <x:c r="M10" s="68" t="str">
        <x:v>criteria UI → validation → publishBulkPlan → factories/package/user roles → visits + assignments + plan → audit + notifications → per-failure rollback/reconciliation tests</x:v>
      </x:c>
      <x:c r="N10" s="68" t="str">
        <x:v>publishBulkPlan performs multiple inserts/updates/notifications and returns raw error messages. It is not proven transactional; audit RLS, guards, partial failure and neutral errors.</x:v>
      </x:c>
      <x:c r="O10" s="68" t="str">
        <x:v>DESIGN_APPROVED → WIRING_AUDIT → IMPLEMENTATION_AUTHORIZED → IMPLEMENTED_UNVERIFIED → VERTICAL_SLICE_PASS → SPONSOR_RUNTIME_ACCEPTED</x:v>
      </x:c>
      <x:c r="P10" s="73" t="str">
        <x:v>Shell.tsx → ShellClient.tsx → shell-navigation.ts → astryx.css</x:v>
      </x:c>
      <x:c r="Q10" s="73" t="str">
        <x:v>Planning · reuse TASK-WEB-SHELL-001 exactly; design page content and page-specific filters only.</x:v>
      </x:c>
      <x:c r="R10" s="73" t="str">
        <x:v>Shared Web/Operations shell V1. Global controls remain shared; filters, modes, data states and actions remain owned by this screen's vertical slice.</x:v>
      </x:c>
    </x:row>
    <x:row r="11" ht="112" customHeight="1">
      <x:c r="A11" s="74" t="str">
        <x:v>CD-022</x:v>
      </x:c>
      <x:c r="B11" s="74" t="str">
        <x:v>SCR-WEB-120</x:v>
      </x:c>
      <x:c r="C11" s="74" t="str">
        <x:v>Single visit planning</x:v>
      </x:c>
      <x:c r="D11" s="74" t="str">
        <x:v>/planning/single</x:v>
      </x:c>
      <x:c r="E11" s="74" t="str">
        <x:v>apps/web/src/app/planning/single/Wizard.tsx; apps/web/src/app/planning/single/actions.ts; apps/web/src/app/planning/single/page.tsx</x:v>
      </x:c>
      <x:c r="F11" s="74" t="str">
        <x:v>Follow imports and runtime composition; enumerate every affected .tsx, .ts, .css, localization and asset path. Never submit only a directory.</x:v>
      </x:c>
      <x:c r="G11" s="74" t="str">
        <x:v>For each exact path: current responsibility, relevant component/export/selector/token, behavior/data hooks, and current visual evidence.</x:v>
      </x:c>
      <x:c r="H11" s="74" t="str">
        <x:v>PRESERVE / UPDATE / CREATE / REMOVE. REMOVE requires explicit human approval.</x:v>
      </x:c>
      <x:c r="I11" s="74" t="str">
        <x:v>For each exact path: future responsibility, mapped design node, exact code target, reason, dependency/RTL/theme impact, tests and rollback.</x:v>
      </x:c>
      <x:c r="J11" s="74" t="str">
        <x:v>Routes; handlers/server actions; Supabase schemas/calls; RLS/RBAC; audit; canonical transitions; offline/conflicts; immutability; localization; test selectors; accessibility.</x:v>
      </x:c>
      <x:c r="K11" s="74" t="str">
        <x:v>IMPLEMENTATION_MANIFEST_CD-022.yaml; COMPONENT_MAP_CD-022.csv; CLAUDE_CODE_HANDOFF_CD-022.md; ACCEPTANCE_CHECKLIST_CD-022.md; primary/outlier PNGs</x:v>
      </x:c>
      <x:c r="L11" s="74" t="str">
        <x:v>Semantic tokens → approved assets → shared components → route composition → localization → tests/evidence.</x:v>
      </x:c>
      <x:c r="M11" s="74" t="str">
        <x:v>factory selection → validation → publishSingleVisit → visit + assignment + plan → canonical publish/audit/notification → conflict and partial-failure tests</x:v>
      </x:c>
      <x:c r="N11" s="74" t="str">
        <x:v>publishSingleVisit performs multiple writes and notifications without proven transactionality. Verify canonical state changes, partial failure, RLS and audit continuity.</x:v>
      </x:c>
      <x:c r="O11" s="74" t="str">
        <x:v>DESIGN_APPROVED → WIRING_AUDIT → IMPLEMENTATION_AUTHORIZED → IMPLEMENTED_UNVERIFIED → VERTICAL_SLICE_PASS → SPONSOR_RUNTIME_ACCEPTED</x:v>
      </x:c>
      <x:c r="P11" s="79" t="str">
        <x:v>Shell.tsx → ShellClient.tsx → shell-navigation.ts → astryx.css</x:v>
      </x:c>
      <x:c r="Q11" s="79" t="str">
        <x:v>Planning · reuse TASK-WEB-SHELL-001 exactly; design page content and page-specific filters only.</x:v>
      </x:c>
      <x:c r="R11" s="79" t="str">
        <x:v>Shared Web/Operations shell V1. Global controls remain shared; filters, modes, data states and actions remain owned by this screen's vertical slice.</x:v>
      </x:c>
    </x:row>
    <x:row r="12" ht="112" customHeight="1">
      <x:c r="A12" s="68" t="str">
        <x:v>CD-023</x:v>
      </x:c>
      <x:c r="B12" s="68" t="str">
        <x:v>SCR-WEB-130</x:v>
      </x:c>
      <x:c r="C12" s="68" t="str">
        <x:v>Immediate visit planning</x:v>
      </x:c>
      <x:c r="D12" s="68" t="str">
        <x:v>/planning/immediate</x:v>
      </x:c>
      <x:c r="E12" s="68" t="str">
        <x:v>apps/web/src/app/planning/immediate/ImmediateForm.tsx; apps/web/src/app/planning/immediate/actions.ts; apps/web/src/app/planning/immediate/page.tsx</x:v>
      </x:c>
      <x:c r="F12" s="68" t="str">
        <x:v>Follow imports and runtime composition; enumerate every affected .tsx, .ts, .css, localization and asset path. Never submit only a directory.</x:v>
      </x:c>
      <x:c r="G12" s="68" t="str">
        <x:v>For each exact path: current responsibility, relevant component/export/selector/token, behavior/data hooks, and current visual evidence.</x:v>
      </x:c>
      <x:c r="H12" s="68" t="str">
        <x:v>PRESERVE / UPDATE / CREATE / REMOVE. REMOVE requires explicit human approval.</x:v>
      </x:c>
      <x:c r="I12" s="68" t="str">
        <x:v>For each exact path: future responsibility, mapped design node, exact code target, reason, dependency/RTL/theme impact, tests and rollback.</x:v>
      </x:c>
      <x:c r="J12" s="68" t="str">
        <x:v>Routes; handlers/server actions; Supabase schemas/calls; RLS/RBAC; audit; canonical transitions; offline/conflicts; immutability; localization; test selectors; accessibility.</x:v>
      </x:c>
      <x:c r="K12" s="68" t="str">
        <x:v>IMPLEMENTATION_MANIFEST_CD-023.yaml; COMPONENT_MAP_CD-023.csv; CLAUDE_CODE_HANDOFF_CD-023.md; ACCEPTANCE_CHECKLIST_CD-023.md; primary/outlier PNGs</x:v>
      </x:c>
      <x:c r="L12" s="68" t="str">
        <x:v>Semantic tokens → approved assets → shared components → route composition → localization → tests/evidence.</x:v>
      </x:c>
      <x:c r="M12" s="68" t="str">
        <x:v>urgent request → authority/identity validation → temporary/known factory decision → assignment + visit → audit/notification → location and partial-failure proof</x:v>
      </x:c>
      <x:c r="N12" s="68" t="str">
        <x:v>createImmediateVisit can create a temporary factory with hard-coded Riyadh and does not reliably prove assignment insert success before continuing. Region and partial failure need correction or an explicit block.</x:v>
      </x:c>
      <x:c r="O12" s="68" t="str">
        <x:v>DESIGN_APPROVED → WIRING_AUDIT → IMPLEMENTATION_AUTHORIZED → IMPLEMENTED_UNVERIFIED → VERTICAL_SLICE_PASS → SPONSOR_RUNTIME_ACCEPTED</x:v>
      </x:c>
      <x:c r="P12" s="73" t="str">
        <x:v>Shell.tsx → ShellClient.tsx → shell-navigation.ts → astryx.css</x:v>
      </x:c>
      <x:c r="Q12" s="73" t="str">
        <x:v>Planning · reuse TASK-WEB-SHELL-001 exactly; design page content and page-specific filters only.</x:v>
      </x:c>
      <x:c r="R12" s="73" t="str">
        <x:v>Shared Web/Operations shell V1. Global controls remain shared; filters, modes, data states and actions remain owned by this screen's vertical slice.</x:v>
      </x:c>
    </x:row>
    <x:row r="13" ht="112" customHeight="1">
      <x:c r="A13" s="74" t="str">
        <x:v>CD-024</x:v>
      </x:c>
      <x:c r="B13" s="74" t="str">
        <x:v>SCR-WEB-140</x:v>
      </x:c>
      <x:c r="C13" s="74" t="str">
        <x:v>Visit configuration and assignment</x:v>
      </x:c>
      <x:c r="D13" s="74" t="str">
        <x:v>/planning/plans/:id</x:v>
      </x:c>
      <x:c r="E13" s="74" t="str">
        <x:v>apps/web/src/app/planning/plans/[id]/page.tsx</x:v>
      </x:c>
      <x:c r="F13" s="74" t="str">
        <x:v>Follow imports and runtime composition; enumerate every affected .tsx, .ts, .css, localization and asset path. Never submit only a directory.</x:v>
      </x:c>
      <x:c r="G13" s="74" t="str">
        <x:v>For each exact path: current responsibility, relevant component/export/selector/token, behavior/data hooks, and current visual evidence.</x:v>
      </x:c>
      <x:c r="H13" s="74" t="str">
        <x:v>PRESERVE / UPDATE / CREATE / REMOVE. REMOVE requires explicit human approval.</x:v>
      </x:c>
      <x:c r="I13" s="74" t="str">
        <x:v>For each exact path: future responsibility, mapped design node, exact code target, reason, dependency/RTL/theme impact, tests and rollback.</x:v>
      </x:c>
      <x:c r="J13" s="74" t="str">
        <x:v>Routes; handlers/server actions; Supabase schemas/calls; RLS/RBAC; audit; canonical transitions; offline/conflicts; immutability; localization; test selectors; accessibility.</x:v>
      </x:c>
      <x:c r="K13" s="74" t="str">
        <x:v>IMPLEMENTATION_MANIFEST_CD-024.yaml; COMPONENT_MAP_CD-024.csv; CLAUDE_CODE_HANDOFF_CD-024.md; ACCEPTANCE_CHECKLIST_CD-024.md; primary/outlier PNGs</x:v>
      </x:c>
      <x:c r="L13" s="74" t="str">
        <x:v>Semantic tokens → approved assets → shared components → route composition → localization → tests/evidence.</x:v>
      </x:c>
      <x:c r="M13" s="74" t="str">
        <x:v>configuration UI → real server action (currently missing) → eligibility/guard evaluation → assignments/visit plan → audit → authorization/conflict tests</x:v>
      </x:c>
      <x:c r="N13" s="74" t="str">
        <x:v>The mapped /planning/plans/:id page is a read-only plan drill-down. No configuration or assignment action is currently mapped. HANDOFF_BLOCKED until exact handlers, tables and guards exist.</x:v>
      </x:c>
      <x:c r="O13" s="74" t="str">
        <x:v>DESIGN_APPROVED → WIRING_AUDIT → IMPLEMENTATION_AUTHORIZED → IMPLEMENTED_UNVERIFIED → VERTICAL_SLICE_PASS → SPONSOR_RUNTIME_ACCEPTED</x:v>
      </x:c>
      <x:c r="P13" s="79" t="str">
        <x:v>Shell.tsx → ShellClient.tsx → shell-navigation.ts → astryx.css</x:v>
      </x:c>
      <x:c r="Q13" s="79" t="str">
        <x:v>Planning · reuse TASK-WEB-SHELL-001 exactly; design page content and page-specific filters only.</x:v>
      </x:c>
      <x:c r="R13" s="79" t="str">
        <x:v>Shared Web/Operations shell V1. Global controls remain shared; filters, modes, data states and actions remain owned by this screen's vertical slice.</x:v>
      </x:c>
    </x:row>
    <x:row r="14" ht="112" customHeight="1">
      <x:c r="A14" s="68" t="str">
        <x:v>CD-025</x:v>
      </x:c>
      <x:c r="B14" s="68" t="str">
        <x:v>SCR-WEB-150</x:v>
      </x:c>
      <x:c r="C14" s="68" t="str">
        <x:v>Plan review and publish</x:v>
      </x:c>
      <x:c r="D14" s="68" t="str">
        <x:v>/planning/plans/:id (review mode)</x:v>
      </x:c>
      <x:c r="E14" s="68" t="str">
        <x:v>apps/web/src/app/planning/plans/[id]/page.tsx</x:v>
      </x:c>
      <x:c r="F14" s="68" t="str">
        <x:v>Follow imports and runtime composition; enumerate every affected .tsx, .ts, .css, localization and asset path. Never submit only a directory.</x:v>
      </x:c>
      <x:c r="G14" s="68" t="str">
        <x:v>For each exact path: current responsibility, relevant component/export/selector/token, behavior/data hooks, and current visual evidence.</x:v>
      </x:c>
      <x:c r="H14" s="68" t="str">
        <x:v>PRESERVE / UPDATE / CREATE / REMOVE. REMOVE requires explicit human approval.</x:v>
      </x:c>
      <x:c r="I14" s="68" t="str">
        <x:v>For each exact path: future responsibility, mapped design node, exact code target, reason, dependency/RTL/theme impact, tests and rollback.</x:v>
      </x:c>
      <x:c r="J14" s="68" t="str">
        <x:v>Routes; handlers/server actions; Supabase schemas/calls; RLS/RBAC; audit; canonical transitions; offline/conflicts; immutability; localization; test selectors; accessibility.</x:v>
      </x:c>
      <x:c r="K14" s="68" t="str">
        <x:v>IMPLEMENTATION_MANIFEST_CD-025.yaml; COMPONENT_MAP_CD-025.csv; CLAUDE_CODE_HANDOFF_CD-025.md; ACCEPTANCE_CHECKLIST_CD-025.md; primary/outlier PNGs</x:v>
      </x:c>
      <x:c r="L14" s="68" t="str">
        <x:v>Semantic tokens → approved assets → shared components → route composition → localization → tests/evidence.</x:v>
      </x:c>
      <x:c r="M14" s="68" t="str">
        <x:v>review UI → blocker validation → canonical publish transaction/RPC (currently missing) → version/status/audit/notifications → rollback and double-submit tests</x:v>
      </x:c>
      <x:c r="N14" s="68" t="str">
        <x:v>The same plan-detail route has no mapped publish action. Do not claim atomic publish. HANDOFF_BLOCKED until an approved transition/transaction and rollback behavior are evidenced.</x:v>
      </x:c>
      <x:c r="O14" s="68" t="str">
        <x:v>DESIGN_APPROVED → WIRING_AUDIT → IMPLEMENTATION_AUTHORIZED → IMPLEMENTED_UNVERIFIED → VERTICAL_SLICE_PASS → SPONSOR_RUNTIME_ACCEPTED</x:v>
      </x:c>
      <x:c r="P14" s="73" t="str">
        <x:v>Shell.tsx → ShellClient.tsx → shell-navigation.ts → astryx.css</x:v>
      </x:c>
      <x:c r="Q14" s="73" t="str">
        <x:v>Planning · reuse TASK-WEB-SHELL-001 exactly; design page content and page-specific filters only.</x:v>
      </x:c>
      <x:c r="R14" s="73" t="str">
        <x:v>Shared Web/Operations shell V1. Global controls remain shared; filters, modes, data states and actions remain owned by this screen's vertical slice.</x:v>
      </x:c>
    </x:row>
    <x:row r="15" ht="112" customHeight="1">
      <x:c r="A15" s="74" t="str">
        <x:v>CD-026</x:v>
      </x:c>
      <x:c r="B15" s="74" t="str">
        <x:v>SCR-WEB-200</x:v>
      </x:c>
      <x:c r="C15" s="74" t="str">
        <x:v>Visit management workspace</x:v>
      </x:c>
      <x:c r="D15" s="74" t="str">
        <x:v>/visits; /visits/calendar; /visits/workload</x:v>
      </x:c>
      <x:c r="E15" s="74" t="str">
        <x:v>apps/web/src/app/visits/VisitsBoard.tsx; apps/web/src/app/visits/[id]/ActionBar.tsx; apps/web/src/app/visits/[id]/Attachments.tsx; apps/web/src/app/visits/[id]/NotesEditor.tsx; apps/web/src/app/visits/[id]/actions.ts; apps/web/src/app/visits/[id]/loading.tsx; apps/web/src/app/visits/[id]/page.tsx; apps/web/src/app/visits/actions.ts; apps/web/src/app/visits/calendar/CalendarBoard.tsx; apps/web/src/app/visits/calendar/page.tsx; apps/web/src/app/visits/loading.tsx; apps/web/src/app/visits/page.tsx; apps/web/src/app/visits/workload/page.tsx</x:v>
      </x:c>
      <x:c r="F15" s="74" t="str">
        <x:v>Follow imports and runtime composition; enumerate every affected .tsx, .ts, .css, localization and asset path. Never submit only a directory.</x:v>
      </x:c>
      <x:c r="G15" s="74" t="str">
        <x:v>For each exact path: current responsibility, relevant component/export/selector/token, behavior/data hooks, and current visual evidence.</x:v>
      </x:c>
      <x:c r="H15" s="74" t="str">
        <x:v>PRESERVE / UPDATE / CREATE / REMOVE. REMOVE requires explicit human approval.</x:v>
      </x:c>
      <x:c r="I15" s="74" t="str">
        <x:v>For each exact path: future responsibility, mapped design node, exact code target, reason, dependency/RTL/theme impact, tests and rollback.</x:v>
      </x:c>
      <x:c r="J15" s="74" t="str">
        <x:v>Routes; handlers/server actions; Supabase schemas/calls; RLS/RBAC; audit; canonical transitions; offline/conflicts; immutability; localization; test selectors; accessibility.</x:v>
      </x:c>
      <x:c r="K15" s="74" t="str">
        <x:v>IMPLEMENTATION_MANIFEST_CD-026.yaml; COMPONENT_MAP_CD-026.csv; CLAUDE_CODE_HANDOFF_CD-026.md; ACCEPTANCE_CHECKLIST_CD-026.md; primary/outlier PNGs</x:v>
      </x:c>
      <x:c r="L15" s="74" t="str">
        <x:v>Semantic tokens → approved assets → shared components → route composition → localization → tests/evidence.</x:v>
      </x:c>
      <x:c r="M15" s="74" t="str">
        <x:v>workspace query → coordinated filters/selection → bulk server action → visits/assignments/RPC expiry → audit/notifications → per-item and stale-selection tests</x:v>
      </x:c>
      <x:c r="N15" s="74" t="str">
        <x:v>List, calendar and workload routes exist; the operational map is not proven wired. Bulk actions can partially succeed. Preserve filters/object identity and report per-item outcomes truthfully.</x:v>
      </x:c>
      <x:c r="O15" s="74" t="str">
        <x:v>DESIGN_APPROVED → WIRING_AUDIT → IMPLEMENTATION_AUTHORIZED → IMPLEMENTED_UNVERIFIED → VERTICAL_SLICE_PASS → SPONSOR_RUNTIME_ACCEPTED</x:v>
      </x:c>
      <x:c r="P15" s="79" t="str">
        <x:v>Shell.tsx → ShellClient.tsx → shell-navigation.ts → astryx.css</x:v>
      </x:c>
      <x:c r="Q15" s="79" t="str">
        <x:v>Visit Management · reuse TASK-WEB-SHELL-001 exactly; design page content and page-specific filters only.</x:v>
      </x:c>
      <x:c r="R15" s="79" t="str">
        <x:v>Shared Web/Operations shell V1. Global controls remain shared; filters, modes, data states and actions remain owned by this screen's vertical slice.</x:v>
      </x:c>
    </x:row>
    <x:row r="16" ht="112" customHeight="1">
      <x:c r="A16" s="68" t="str">
        <x:v>CD-027</x:v>
      </x:c>
      <x:c r="B16" s="68" t="str">
        <x:v>SCR-WEB-210</x:v>
      </x:c>
      <x:c r="C16" s="68" t="str">
        <x:v>Visit detail</x:v>
      </x:c>
      <x:c r="D16" s="68" t="str">
        <x:v>/visits/:id</x:v>
      </x:c>
      <x:c r="E16" s="68" t="str">
        <x:v>apps/web/src/app/visits/[id]/ActionBar.tsx; apps/web/src/app/visits/[id]/Attachments.tsx; apps/web/src/app/visits/[id]/NotesEditor.tsx; apps/web/src/app/visits/[id]/actions.ts; apps/web/src/app/visits/[id]/loading.tsx; apps/web/src/app/visits/[id]/page.tsx</x:v>
      </x:c>
      <x:c r="F16" s="68" t="str">
        <x:v>Follow imports and runtime composition; enumerate every affected .tsx, .ts, .css, localization and asset path. Never submit only a directory.</x:v>
      </x:c>
      <x:c r="G16" s="68" t="str">
        <x:v>For each exact path: current responsibility, relevant component/export/selector/token, behavior/data hooks, and current visual evidence.</x:v>
      </x:c>
      <x:c r="H16" s="68" t="str">
        <x:v>PRESERVE / UPDATE / CREATE / REMOVE. REMOVE requires explicit human approval.</x:v>
      </x:c>
      <x:c r="I16" s="68" t="str">
        <x:v>For each exact path: future responsibility, mapped design node, exact code target, reason, dependency/RTL/theme impact, tests and rollback.</x:v>
      </x:c>
      <x:c r="J16" s="68" t="str">
        <x:v>Routes; handlers/server actions; Supabase schemas/calls; RLS/RBAC; audit; canonical transitions; offline/conflicts; immutability; localization; test selectors; accessibility.</x:v>
      </x:c>
      <x:c r="K16" s="68" t="str">
        <x:v>IMPLEMENTATION_MANIFEST_CD-027.yaml; COMPONENT_MAP_CD-027.csv; CLAUDE_CODE_HANDOFF_CD-027.md; ACCEPTANCE_CHECKLIST_CD-027.md; primary/outlier PNGs</x:v>
      </x:c>
      <x:c r="L16" s="68" t="str">
        <x:v>Semantic tokens → approved assets → shared components → route composition → localization → tests/evidence.</x:v>
      </x:c>
      <x:c r="M16" s="68" t="str">
        <x:v>detail query → allowed action guard → visit/assignment/storage updates → audit + notification → partial-side-effect, unauthorized and stale-state tests</x:v>
      </x:c>
      <x:c r="N16" s="68" t="str">
        <x:v>Visit actions span state, assignment, notes, attachments, storage and notifications. Raw errors and multi-write partial failures exist; verify canonical transitions, immutable history and audit events.</x:v>
      </x:c>
      <x:c r="O16" s="68" t="str">
        <x:v>DESIGN_APPROVED → WIRING_AUDIT → IMPLEMENTATION_AUTHORIZED → IMPLEMENTED_UNVERIFIED → VERTICAL_SLICE_PASS → SPONSOR_RUNTIME_ACCEPTED</x:v>
      </x:c>
      <x:c r="P16" s="73" t="str">
        <x:v>Shell.tsx → ShellClient.tsx → shell-navigation.ts → astryx.css</x:v>
      </x:c>
      <x:c r="Q16" s="73" t="str">
        <x:v>Visit Management · reuse TASK-WEB-SHELL-001 exactly; design page content and page-specific filters only.</x:v>
      </x:c>
      <x:c r="R16" s="73" t="str">
        <x:v>Shared Web/Operations shell V1. Global controls remain shared; filters, modes, data states and actions remain owned by this screen's vertical slice.</x:v>
      </x:c>
    </x:row>
    <x:row r="17" ht="112" customHeight="1">
      <x:c r="A17" s="74" t="str">
        <x:v>CD-028</x:v>
      </x:c>
      <x:c r="B17" s="74" t="str">
        <x:v>SCR-WEB-300</x:v>
      </x:c>
      <x:c r="C17" s="74" t="str">
        <x:v>Level 2 review queue</x:v>
      </x:c>
      <x:c r="D17" s="74" t="str">
        <x:v>/reviews</x:v>
      </x:c>
      <x:c r="E17" s="74" t="str">
        <x:v>apps/web/src/app/reviews/page.tsx</x:v>
      </x:c>
      <x:c r="F17" s="74" t="str">
        <x:v>Follow imports and runtime composition; enumerate every affected .tsx, .ts, .css, localization and asset path. Never submit only a directory.</x:v>
      </x:c>
      <x:c r="G17" s="74" t="str">
        <x:v>For each exact path: current responsibility, relevant component/export/selector/token, behavior/data hooks, and current visual evidence.</x:v>
      </x:c>
      <x:c r="H17" s="74" t="str">
        <x:v>PRESERVE / UPDATE / CREATE / REMOVE. REMOVE requires explicit human approval.</x:v>
      </x:c>
      <x:c r="I17" s="74" t="str">
        <x:v>For each exact path: future responsibility, mapped design node, exact code target, reason, dependency/RTL/theme impact, tests and rollback.</x:v>
      </x:c>
      <x:c r="J17" s="74" t="str">
        <x:v>Routes; handlers/server actions; Supabase schemas/calls; RLS/RBAC; audit; canonical transitions; offline/conflicts; immutability; localization; test selectors; accessibility.</x:v>
      </x:c>
      <x:c r="K17" s="74" t="str">
        <x:v>IMPLEMENTATION_MANIFEST_CD-028.yaml; COMPONENT_MAP_CD-028.csv; CLAUDE_CODE_HANDOFF_CD-028.md; ACCEPTANCE_CHECKLIST_CD-028.md; primary/outlier PNGs</x:v>
      </x:c>
      <x:c r="L17" s="74" t="str">
        <x:v>Semantic tokens → approved assets → shared components → route composition → localization → tests/evidence.</x:v>
      </x:c>
      <x:c r="M17" s="74" t="str">
        <x:v>queue query → RLS/SLA derivation → real claim/reassign action (currently missing) → review ownership/audit → keyboard and concurrency tests</x:v>
      </x:c>
      <x:c r="N17" s="74" t="str">
        <x:v>Queue reads exist, but dedicated claim/reassign actions are not currently mapped. Opening the workspace participates in review state creation. Do not invent queue controls.</x:v>
      </x:c>
      <x:c r="O17" s="74" t="str">
        <x:v>DESIGN_APPROVED → WIRING_AUDIT → IMPLEMENTATION_AUTHORIZED → IMPLEMENTED_UNVERIFIED → VERTICAL_SLICE_PASS → SPONSOR_RUNTIME_ACCEPTED</x:v>
      </x:c>
      <x:c r="P17" s="79" t="str">
        <x:v>Shell.tsx → ShellClient.tsx → shell-navigation.ts → astryx.css</x:v>
      </x:c>
      <x:c r="Q17" s="79" t="str">
        <x:v>Review &amp; Approval · reuse TASK-WEB-SHELL-001 exactly; design page content and page-specific filters only.</x:v>
      </x:c>
      <x:c r="R17" s="79" t="str">
        <x:v>Shared Web/Operations shell V1. Global controls remain shared; filters, modes, data states and actions remain owned by this screen's vertical slice.</x:v>
      </x:c>
    </x:row>
    <x:row r="18" ht="112" customHeight="1">
      <x:c r="A18" s="68" t="str">
        <x:v>CD-029</x:v>
      </x:c>
      <x:c r="B18" s="68" t="str">
        <x:v>SCR-WEB-310</x:v>
      </x:c>
      <x:c r="C18" s="68" t="str">
        <x:v>Level 2 review workspace</x:v>
      </x:c>
      <x:c r="D18" s="68" t="str">
        <x:v>/reviews/:id</x:v>
      </x:c>
      <x:c r="E18" s="68" t="str">
        <x:v>apps/web/src/app/reviews/[id]/DecisionPanel.tsx; apps/web/src/app/reviews/[id]/actions.ts; apps/web/src/app/reviews/[id]/page.tsx</x:v>
      </x:c>
      <x:c r="F18" s="68" t="str">
        <x:v>Follow imports and runtime composition; enumerate every affected .tsx, .ts, .css, localization and asset path. Never submit only a directory.</x:v>
      </x:c>
      <x:c r="G18" s="68" t="str">
        <x:v>For each exact path: current responsibility, relevant component/export/selector/token, behavior/data hooks, and current visual evidence.</x:v>
      </x:c>
      <x:c r="H18" s="68" t="str">
        <x:v>PRESERVE / UPDATE / CREATE / REMOVE. REMOVE requires explicit human approval.</x:v>
      </x:c>
      <x:c r="I18" s="68" t="str">
        <x:v>For each exact path: future responsibility, mapped design node, exact code target, reason, dependency/RTL/theme impact, tests and rollback.</x:v>
      </x:c>
      <x:c r="J18" s="68" t="str">
        <x:v>Routes; handlers/server actions; Supabase schemas/calls; RLS/RBAC; audit; canonical transitions; offline/conflicts; immutability; localization; test selectors; accessibility.</x:v>
      </x:c>
      <x:c r="K18" s="68" t="str">
        <x:v>IMPLEMENTATION_MANIFEST_CD-029.yaml; COMPONENT_MAP_CD-029.csv; CLAUDE_CODE_HANDOFF_CD-029.md; ACCEPTANCE_CHECKLIST_CD-029.md; primary/outlier PNGs</x:v>
      </x:c>
      <x:c r="L18" s="68" t="str">
        <x:v>Semantic tokens → approved assets → shared components → route composition → localization → tests/evidence.</x:v>
      </x:c>
      <x:c r="M18" s="68" t="str">
        <x:v>immutable submission query → explicit start/claim → decision validation → review + inspection canonical transition → audit/notification → concurrency and failure tests</x:v>
      </x:c>
      <x:c r="N18" s="68" t="str">
        <x:v>The workspace currently writes during page load and has duplicate action files with inconsistent reason validation. Review/inspection/notification changes are not proven transactional.</x:v>
      </x:c>
      <x:c r="O18" s="68" t="str">
        <x:v>DESIGN_APPROVED → WIRING_AUDIT → IMPLEMENTATION_AUTHORIZED → IMPLEMENTED_UNVERIFIED → VERTICAL_SLICE_PASS → SPONSOR_RUNTIME_ACCEPTED</x:v>
      </x:c>
      <x:c r="P18" s="73" t="str">
        <x:v>Shell.tsx → ShellClient.tsx → shell-navigation.ts → astryx.css</x:v>
      </x:c>
      <x:c r="Q18" s="73" t="str">
        <x:v>Review &amp; Approval · reuse TASK-WEB-SHELL-001 exactly; design page content and page-specific filters only.</x:v>
      </x:c>
      <x:c r="R18" s="73" t="str">
        <x:v>Shared Web/Operations shell V1. Global controls remain shared; filters, modes, data states and actions remain owned by this screen's vertical slice.</x:v>
      </x:c>
    </x:row>
    <x:row r="19" ht="112" customHeight="1">
      <x:c r="A19" s="74" t="str">
        <x:v>CD-030</x:v>
      </x:c>
      <x:c r="B19" s="74" t="str">
        <x:v>SCR-WEB-320</x:v>
      </x:c>
      <x:c r="C19" s="74" t="str">
        <x:v>Version comparison</x:v>
      </x:c>
      <x:c r="D19" s="74" t="str">
        <x:v>/reviews/:id (compare mode)</x:v>
      </x:c>
      <x:c r="E19" s="74" t="str">
        <x:v>apps/web/src/app/reviews/[id]/DecisionPanel.tsx; apps/web/src/app/reviews/[id]/actions.ts; apps/web/src/app/reviews/[id]/page.tsx</x:v>
      </x:c>
      <x:c r="F19" s="74" t="str">
        <x:v>Follow imports and runtime composition; enumerate every affected .tsx, .ts, .css, localization and asset path. Never submit only a directory.</x:v>
      </x:c>
      <x:c r="G19" s="74" t="str">
        <x:v>For each exact path: current responsibility, relevant component/export/selector/token, behavior/data hooks, and current visual evidence.</x:v>
      </x:c>
      <x:c r="H19" s="74" t="str">
        <x:v>PRESERVE / UPDATE / CREATE / REMOVE. REMOVE requires explicit human approval.</x:v>
      </x:c>
      <x:c r="I19" s="74" t="str">
        <x:v>For each exact path: future responsibility, mapped design node, exact code target, reason, dependency/RTL/theme impact, tests and rollback.</x:v>
      </x:c>
      <x:c r="J19" s="74" t="str">
        <x:v>Routes; handlers/server actions; Supabase schemas/calls; RLS/RBAC; audit; canonical transitions; offline/conflicts; immutability; localization; test selectors; accessibility.</x:v>
      </x:c>
      <x:c r="K19" s="74" t="str">
        <x:v>IMPLEMENTATION_MANIFEST_CD-030.yaml; COMPONENT_MAP_CD-030.csv; CLAUDE_CODE_HANDOFF_CD-030.md; ACCEPTANCE_CHECKLIST_CD-030.md; primary/outlier PNGs</x:v>
      </x:c>
      <x:c r="L19" s="74" t="str">
        <x:v>Semantic tokens → approved assets → shared components → route composition → localization → tests/evidence.</x:v>
      </x:c>
      <x:c r="M19" s="74" t="str">
        <x:v>version query → returned-scope rule → semantic diff derivation → non-color presentation → immutable-data and unexpected-change tests</x:v>
      </x:c>
      <x:c r="N19" s="74" t="str">
        <x:v>Current comparison is primarily answer-snapshot rows. Evidence/media/package semantic diff and already-locked change detection must remain blocked unless supported by runtime data.</x:v>
      </x:c>
      <x:c r="O19" s="74" t="str">
        <x:v>DESIGN_APPROVED → WIRING_AUDIT → IMPLEMENTATION_AUTHORIZED → IMPLEMENTED_UNVERIFIED → VERTICAL_SLICE_PASS → SPONSOR_RUNTIME_ACCEPTED</x:v>
      </x:c>
      <x:c r="P19" s="79" t="str">
        <x:v>Shell.tsx → ShellClient.tsx → shell-navigation.ts → astryx.css</x:v>
      </x:c>
      <x:c r="Q19" s="79" t="str">
        <x:v>Review &amp; Approval · reuse TASK-WEB-SHELL-001 exactly; design page content and page-specific filters only.</x:v>
      </x:c>
      <x:c r="R19" s="79" t="str">
        <x:v>Shared Web/Operations shell V1. Global controls remain shared; filters, modes, data states and actions remain owned by this screen's vertical slice.</x:v>
      </x:c>
    </x:row>
    <x:row r="20" ht="112" customHeight="1">
      <x:c r="A20" s="68" t="str">
        <x:v>CD-031</x:v>
      </x:c>
      <x:c r="B20" s="68" t="str">
        <x:v>SCR-WEB-400</x:v>
      </x:c>
      <x:c r="C20" s="68" t="str">
        <x:v>Factory 360</x:v>
      </x:c>
      <x:c r="D20" s="68" t="str">
        <x:v>/factories/:id</x:v>
      </x:c>
      <x:c r="E20" s="68" t="str">
        <x:v>apps/web/src/app/factories/[id]/Controls.tsx; apps/web/src/app/factories/[id]/actions.ts; apps/web/src/app/factories/[id]/loading.tsx; apps/web/src/app/factories/[id]/page.tsx</x:v>
      </x:c>
      <x:c r="F20" s="68" t="str">
        <x:v>Follow imports and runtime composition; enumerate every affected .tsx, .ts, .css, localization and asset path. Never submit only a directory.</x:v>
      </x:c>
      <x:c r="G20" s="68" t="str">
        <x:v>For each exact path: current responsibility, relevant component/export/selector/token, behavior/data hooks, and current visual evidence.</x:v>
      </x:c>
      <x:c r="H20" s="68" t="str">
        <x:v>PRESERVE / UPDATE / CREATE / REMOVE. REMOVE requires explicit human approval.</x:v>
      </x:c>
      <x:c r="I20" s="68" t="str">
        <x:v>For each exact path: future responsibility, mapped design node, exact code target, reason, dependency/RTL/theme impact, tests and rollback.</x:v>
      </x:c>
      <x:c r="J20" s="68" t="str">
        <x:v>Routes; handlers/server actions; Supabase schemas/calls; RLS/RBAC; audit; canonical transitions; offline/conflicts; immutability; localization; test selectors; accessibility.</x:v>
      </x:c>
      <x:c r="K20" s="68" t="str">
        <x:v>IMPLEMENTATION_MANIFEST_CD-031.yaml; COMPONENT_MAP_CD-031.csv; CLAUDE_CODE_HANDOFF_CD-031.md; ACCEPTANCE_CHECKLIST_CD-031.md; primary/outlier PNGs</x:v>
      </x:c>
      <x:c r="L20" s="68" t="str">
        <x:v>Semantic tokens → approved assets → shared components → route composition → localization → tests/evidence.</x:v>
      </x:c>
      <x:c r="M20" s="68" t="str">
        <x:v>factory identity query → role-masked joined history → documents/representatives/products/materials actions → storage/RLS/audit → missing-data and unauthorized tests</x:v>
      </x:c>
      <x:c r="N20" s="68" t="str">
        <x:v>Factory reads and supporting document/representative/product/material actions exist. Acceptance ledger still records partial licence, legal, map, risk, timeline and role-visibility coverage.</x:v>
      </x:c>
      <x:c r="O20" s="68" t="str">
        <x:v>DESIGN_APPROVED → WIRING_AUDIT → IMPLEMENTATION_AUTHORIZED → IMPLEMENTED_UNVERIFIED → VERTICAL_SLICE_PASS → SPONSOR_RUNTIME_ACCEPTED</x:v>
      </x:c>
      <x:c r="P20" s="73" t="str">
        <x:v>Shell.tsx → ShellClient.tsx → shell-navigation.ts → astryx.css</x:v>
      </x:c>
      <x:c r="Q20" s="73" t="str">
        <x:v>Factory 360 · reuse TASK-WEB-SHELL-001 exactly; design page content and page-specific filters only.</x:v>
      </x:c>
      <x:c r="R20" s="73" t="str">
        <x:v>Shared Web/Operations shell V1. Global controls remain shared; filters, modes, data states and actions remain owned by this screen's vertical slice.</x:v>
      </x:c>
    </x:row>
    <x:row r="21" ht="112" customHeight="1">
      <x:c r="A21" s="74" t="str">
        <x:v>CD-032</x:v>
      </x:c>
      <x:c r="B21" s="74" t="str">
        <x:v>SCR-WEB-500</x:v>
      </x:c>
      <x:c r="C21" s="74" t="str">
        <x:v>Operations Center and authenticated map</x:v>
      </x:c>
      <x:c r="D21" s="74" t="str">
        <x:v>/operations; /operations/live</x:v>
      </x:c>
      <x:c r="E21" s="74" t="str">
        <x:v>apps/web/src/app/operations/Controls.tsx; apps/web/src/app/operations/Monitoring.tsx; apps/web/src/app/operations/OpsExport.tsx; apps/web/src/app/operations/OpsMap.tsx; apps/web/src/app/operations/actions.ts; apps/web/src/app/operations/live/LiveMapInner.tsx; apps/web/src/app/operations/live/LiveOps.tsx; apps/web/src/app/operations/live/page.tsx; apps/web/src/app/operations/live/types.ts; apps/web/src/app/operations/loading.tsx; apps/web/src/app/operations/page.tsx</x:v>
      </x:c>
      <x:c r="F21" s="74" t="str">
        <x:v>Follow imports and runtime composition; enumerate every affected .tsx, .ts, .css, localization and asset path. Never submit only a directory.</x:v>
      </x:c>
      <x:c r="G21" s="74" t="str">
        <x:v>For each exact path: current responsibility, relevant component/export/selector/token, behavior/data hooks, and current visual evidence.</x:v>
      </x:c>
      <x:c r="H21" s="74" t="str">
        <x:v>PRESERVE / UPDATE / CREATE / REMOVE. REMOVE requires explicit human approval.</x:v>
      </x:c>
      <x:c r="I21" s="74" t="str">
        <x:v>For each exact path: future responsibility, mapped design node, exact code target, reason, dependency/RTL/theme impact, tests and rollback.</x:v>
      </x:c>
      <x:c r="J21" s="74" t="str">
        <x:v>Routes; handlers/server actions; Supabase schemas/calls; RLS/RBAC; audit; canonical transitions; offline/conflicts; immutability; localization; test selectors; accessibility.</x:v>
      </x:c>
      <x:c r="K21" s="74" t="str">
        <x:v>IMPLEMENTATION_MANIFEST_CD-032.yaml; COMPONENT_MAP_CD-032.csv; CLAUDE_CODE_HANDOFF_CD-032.md; ACCEPTANCE_CHECKLIST_CD-032.md; primary/outlier PNGs</x:v>
      </x:c>
      <x:c r="L21" s="74" t="str">
        <x:v>Semantic tokens → approved assets → shared components → route composition → localization → tests/evidence.</x:v>
      </x:c>
      <x:c r="M21" s="74" t="str">
        <x:v>UI trigger → client → route/server action → validation/guard → table/RPC/storage/provider → RLS/role → canonical transition → audit/notification → tests/evidence</x:v>
      </x:c>
      <x:c r="N21" s="74" t="str">
        <x:v>Discover against current repository/runtime; unsupported legs are HANDOFF_BLOCKED.</x:v>
      </x:c>
      <x:c r="O21" s="74" t="str">
        <x:v>DESIGN_APPROVED → WIRING_AUDIT → IMPLEMENTATION_AUTHORIZED → IMPLEMENTED_UNVERIFIED → VERTICAL_SLICE_PASS → SPONSOR_RUNTIME_ACCEPTED</x:v>
      </x:c>
      <x:c r="P21" s="79" t="str">
        <x:v>Shell.tsx → ShellClient.tsx → shell-navigation.ts → astryx.css</x:v>
      </x:c>
      <x:c r="Q21" s="79" t="str">
        <x:v>Dashboard / Operations Center · reuse TASK-WEB-SHELL-001 exactly; design page content and page-specific filters only.</x:v>
      </x:c>
      <x:c r="R21" s="79" t="str">
        <x:v>Shared Web/Operations shell V1. Global controls remain shared; filters, modes, data states and actions remain owned by this screen's vertical slice.</x:v>
      </x:c>
    </x:row>
    <x:row r="22" ht="112" customHeight="1">
      <x:c r="A22" s="68" t="str">
        <x:v>CD-004</x:v>
      </x:c>
      <x:c r="B22" s="68" t="str">
        <x:v>SCR-ADM-001</x:v>
      </x:c>
      <x:c r="C22" s="68" t="str">
        <x:v>Admin control-plane home</x:v>
      </x:c>
      <x:c r="D22" s="68" t="str">
        <x:v>/admin</x:v>
      </x:c>
      <x:c r="E22" s="68" t="str">
        <x:v>apps/web/src/app/admin/page.tsx</x:v>
      </x:c>
      <x:c r="F22" s="68" t="str">
        <x:v>Follow imports and runtime composition; enumerate every affected .tsx, .ts, .css, localization and asset path. Never submit only a directory.</x:v>
      </x:c>
      <x:c r="G22" s="68" t="str">
        <x:v>For each exact path: current responsibility, relevant component/export/selector/token, behavior/data hooks, and current visual evidence.</x:v>
      </x:c>
      <x:c r="H22" s="68" t="str">
        <x:v>PRESERVE / UPDATE / CREATE / REMOVE. REMOVE requires explicit human approval.</x:v>
      </x:c>
      <x:c r="I22" s="68" t="str">
        <x:v>For each exact path: future responsibility, mapped design node, exact code target, reason, dependency/RTL/theme impact, tests and rollback.</x:v>
      </x:c>
      <x:c r="J22" s="68" t="str">
        <x:v>Routes; handlers/server actions; Supabase schemas/calls; RLS/RBAC; audit; canonical transitions; offline/conflicts; immutability; localization; test selectors; accessibility.</x:v>
      </x:c>
      <x:c r="K22" s="68" t="str">
        <x:v>IMPLEMENTATION_MANIFEST_CD-004.yaml; COMPONENT_MAP_CD-004.csv; CLAUDE_CODE_HANDOFF_CD-004.md; ACCEPTANCE_CHECKLIST_CD-004.md; primary/outlier PNGs</x:v>
      </x:c>
      <x:c r="L22" s="68" t="str">
        <x:v>Semantic tokens → approved assets → shared components → route composition → localization → tests/evidence.</x:v>
      </x:c>
      <x:c r="M22" s="68" t="str">
        <x:v>UI trigger → client → route/server action → validation/guard → table/RPC/storage/provider → RLS/role → canonical transition → audit/notification → tests/evidence</x:v>
      </x:c>
      <x:c r="N22" s="68" t="str">
        <x:v>Discover against current repository/runtime; unsupported legs are HANDOFF_BLOCKED.</x:v>
      </x:c>
      <x:c r="O22" s="68" t="str">
        <x:v>DESIGN_APPROVED → WIRING_AUDIT → IMPLEMENTATION_AUTHORIZED → IMPLEMENTED_UNVERIFIED → VERTICAL_SLICE_PASS → SPONSOR_RUNTIME_ACCEPTED</x:v>
      </x:c>
      <x:c r="P22" s="73" t="str">
        <x:v>Shell.tsx → ShellClient.tsx → shell-navigation.ts → astryx.css</x:v>
      </x:c>
      <x:c r="Q22" s="73" t="str">
        <x:v>Approval &amp; Configuration · server-role-scoped group; no CRUD-only or unsupported placeholder tab.</x:v>
      </x:c>
      <x:c r="R22" s="73" t="str">
        <x:v>Shared Admin control-plane shell V1. Global controls remain shared; filters, modes, data states and actions remain owned by this screen's vertical slice.</x:v>
      </x:c>
    </x:row>
    <x:row r="23" ht="112" customHeight="1">
      <x:c r="A23" s="74" t="str">
        <x:v>CD-005</x:v>
      </x:c>
      <x:c r="B23" s="74" t="str">
        <x:v>SCR-ADM-010</x:v>
      </x:c>
      <x:c r="C23" s="74" t="str">
        <x:v>Regulation library</x:v>
      </x:c>
      <x:c r="D23" s="74" t="str">
        <x:v>/admin/regulations</x:v>
      </x:c>
      <x:c r="E23" s="74" t="str">
        <x:v>apps/web/src/app/admin/regulations/Controls.tsx; apps/web/src/app/admin/regulations/actions.ts; apps/web/src/app/admin/regulations/page.tsx</x:v>
      </x:c>
      <x:c r="F23" s="74" t="str">
        <x:v>Follow imports and runtime composition; enumerate every affected .tsx, .ts, .css, localization and asset path. Never submit only a directory.</x:v>
      </x:c>
      <x:c r="G23" s="74" t="str">
        <x:v>For each exact path: current responsibility, relevant component/export/selector/token, behavior/data hooks, and current visual evidence.</x:v>
      </x:c>
      <x:c r="H23" s="74" t="str">
        <x:v>PRESERVE / UPDATE / CREATE / REMOVE. REMOVE requires explicit human approval.</x:v>
      </x:c>
      <x:c r="I23" s="74" t="str">
        <x:v>For each exact path: future responsibility, mapped design node, exact code target, reason, dependency/RTL/theme impact, tests and rollback.</x:v>
      </x:c>
      <x:c r="J23" s="74" t="str">
        <x:v>Routes; handlers/server actions; Supabase schemas/calls; RLS/RBAC; audit; canonical transitions; offline/conflicts; immutability; localization; test selectors; accessibility.</x:v>
      </x:c>
      <x:c r="K23" s="74" t="str">
        <x:v>IMPLEMENTATION_MANIFEST_CD-005.yaml; COMPONENT_MAP_CD-005.csv; CLAUDE_CODE_HANDOFF_CD-005.md; ACCEPTANCE_CHECKLIST_CD-005.md; primary/outlier PNGs</x:v>
      </x:c>
      <x:c r="L23" s="74" t="str">
        <x:v>Semantic tokens → approved assets → shared components → route composition → localization → tests/evidence.</x:v>
      </x:c>
      <x:c r="M23" s="74" t="str">
        <x:v>UI trigger → client → route/server action → validation/guard → table/RPC/storage/provider → RLS/role → canonical transition → audit/notification → tests/evidence</x:v>
      </x:c>
      <x:c r="N23" s="74" t="str">
        <x:v>Discover against current repository/runtime; unsupported legs are HANDOFF_BLOCKED.</x:v>
      </x:c>
      <x:c r="O23" s="74" t="str">
        <x:v>DESIGN_APPROVED → WIRING_AUDIT → IMPLEMENTATION_AUTHORIZED → IMPLEMENTED_UNVERIFIED → VERTICAL_SLICE_PASS → SPONSOR_RUNTIME_ACCEPTED</x:v>
      </x:c>
      <x:c r="P23" s="79" t="str">
        <x:v>Shell.tsx → ShellClient.tsx → shell-navigation.ts → astryx.css</x:v>
      </x:c>
      <x:c r="Q23" s="79" t="str">
        <x:v>Compliance Library · server-role-scoped group; no CRUD-only or unsupported placeholder tab.</x:v>
      </x:c>
      <x:c r="R23" s="79" t="str">
        <x:v>Shared Admin control-plane shell V1. Global controls remain shared; filters, modes, data states and actions remain owned by this screen's vertical slice.</x:v>
      </x:c>
    </x:row>
    <x:row r="24" ht="112" customHeight="1">
      <x:c r="A24" s="68" t="str">
        <x:v>CD-006</x:v>
      </x:c>
      <x:c r="B24" s="68" t="str">
        <x:v>SCR-ADM-011</x:v>
      </x:c>
      <x:c r="C24" s="68" t="str">
        <x:v>Regulation detail and version</x:v>
      </x:c>
      <x:c r="D24" s="68" t="str">
        <x:v>/admin/regulations (detail mode)</x:v>
      </x:c>
      <x:c r="E24" s="68" t="str">
        <x:v>apps/web/src/app/admin/regulations/Controls.tsx; apps/web/src/app/admin/regulations/actions.ts; apps/web/src/app/admin/regulations/page.tsx</x:v>
      </x:c>
      <x:c r="F24" s="68" t="str">
        <x:v>Follow imports and runtime composition; enumerate every affected .tsx, .ts, .css, localization and asset path. Never submit only a directory.</x:v>
      </x:c>
      <x:c r="G24" s="68" t="str">
        <x:v>For each exact path: current responsibility, relevant component/export/selector/token, behavior/data hooks, and current visual evidence.</x:v>
      </x:c>
      <x:c r="H24" s="68" t="str">
        <x:v>PRESERVE / UPDATE / CREATE / REMOVE. REMOVE requires explicit human approval.</x:v>
      </x:c>
      <x:c r="I24" s="68" t="str">
        <x:v>For each exact path: future responsibility, mapped design node, exact code target, reason, dependency/RTL/theme impact, tests and rollback.</x:v>
      </x:c>
      <x:c r="J24" s="68" t="str">
        <x:v>Routes; handlers/server actions; Supabase schemas/calls; RLS/RBAC; audit; canonical transitions; offline/conflicts; immutability; localization; test selectors; accessibility.</x:v>
      </x:c>
      <x:c r="K24" s="68" t="str">
        <x:v>IMPLEMENTATION_MANIFEST_CD-006.yaml; COMPONENT_MAP_CD-006.csv; CLAUDE_CODE_HANDOFF_CD-006.md; ACCEPTANCE_CHECKLIST_CD-006.md; primary/outlier PNGs</x:v>
      </x:c>
      <x:c r="L24" s="68" t="str">
        <x:v>Semantic tokens → approved assets → shared components → route composition → localization → tests/evidence.</x:v>
      </x:c>
      <x:c r="M24" s="68" t="str">
        <x:v>UI trigger → client → route/server action → validation/guard → table/RPC/storage/provider → RLS/role → canonical transition → audit/notification → tests/evidence</x:v>
      </x:c>
      <x:c r="N24" s="68" t="str">
        <x:v>Discover against current repository/runtime; unsupported legs are HANDOFF_BLOCKED.</x:v>
      </x:c>
      <x:c r="O24" s="68" t="str">
        <x:v>DESIGN_APPROVED → WIRING_AUDIT → IMPLEMENTATION_AUTHORIZED → IMPLEMENTED_UNVERIFIED → VERTICAL_SLICE_PASS → SPONSOR_RUNTIME_ACCEPTED</x:v>
      </x:c>
      <x:c r="P24" s="73" t="str">
        <x:v>Shell.tsx → ShellClient.tsx → shell-navigation.ts → astryx.css</x:v>
      </x:c>
      <x:c r="Q24" s="73" t="str">
        <x:v>Compliance Library · server-role-scoped group; no CRUD-only or unsupported placeholder tab.</x:v>
      </x:c>
      <x:c r="R24" s="73" t="str">
        <x:v>Shared Admin control-plane shell V1. Global controls remain shared; filters, modes, data states and actions remain owned by this screen's vertical slice.</x:v>
      </x:c>
    </x:row>
    <x:row r="25" ht="112" customHeight="1">
      <x:c r="A25" s="74" t="str">
        <x:v>CD-007</x:v>
      </x:c>
      <x:c r="B25" s="74" t="str">
        <x:v>SCR-ADM-020</x:v>
      </x:c>
      <x:c r="C25" s="74" t="str">
        <x:v>Inspection item catalogue</x:v>
      </x:c>
      <x:c r="D25" s="74" t="str">
        <x:v>/admin/items</x:v>
      </x:c>
      <x:c r="E25" s="74" t="str">
        <x:v>apps/web/src/app/admin/items/Controls.tsx; apps/web/src/app/admin/items/actions.ts; apps/web/src/app/admin/items/page.tsx</x:v>
      </x:c>
      <x:c r="F25" s="74" t="str">
        <x:v>Follow imports and runtime composition; enumerate every affected .tsx, .ts, .css, localization and asset path. Never submit only a directory.</x:v>
      </x:c>
      <x:c r="G25" s="74" t="str">
        <x:v>For each exact path: current responsibility, relevant component/export/selector/token, behavior/data hooks, and current visual evidence.</x:v>
      </x:c>
      <x:c r="H25" s="74" t="str">
        <x:v>PRESERVE / UPDATE / CREATE / REMOVE. REMOVE requires explicit human approval.</x:v>
      </x:c>
      <x:c r="I25" s="74" t="str">
        <x:v>For each exact path: future responsibility, mapped design node, exact code target, reason, dependency/RTL/theme impact, tests and rollback.</x:v>
      </x:c>
      <x:c r="J25" s="74" t="str">
        <x:v>Routes; handlers/server actions; Supabase schemas/calls; RLS/RBAC; audit; canonical transitions; offline/conflicts; immutability; localization; test selectors; accessibility.</x:v>
      </x:c>
      <x:c r="K25" s="74" t="str">
        <x:v>IMPLEMENTATION_MANIFEST_CD-007.yaml; COMPONENT_MAP_CD-007.csv; CLAUDE_CODE_HANDOFF_CD-007.md; ACCEPTANCE_CHECKLIST_CD-007.md; primary/outlier PNGs</x:v>
      </x:c>
      <x:c r="L25" s="74" t="str">
        <x:v>Semantic tokens → approved assets → shared components → route composition → localization → tests/evidence.</x:v>
      </x:c>
      <x:c r="M25" s="74" t="str">
        <x:v>UI trigger → client → route/server action → validation/guard → table/RPC/storage/provider → RLS/role → canonical transition → audit/notification → tests/evidence</x:v>
      </x:c>
      <x:c r="N25" s="74" t="str">
        <x:v>Discover against current repository/runtime; unsupported legs are HANDOFF_BLOCKED.</x:v>
      </x:c>
      <x:c r="O25" s="74" t="str">
        <x:v>DESIGN_APPROVED → WIRING_AUDIT → IMPLEMENTATION_AUTHORIZED → IMPLEMENTED_UNVERIFIED → VERTICAL_SLICE_PASS → SPONSOR_RUNTIME_ACCEPTED</x:v>
      </x:c>
      <x:c r="P25" s="79" t="str">
        <x:v>Shell.tsx → ShellClient.tsx → shell-navigation.ts → astryx.css</x:v>
      </x:c>
      <x:c r="Q25" s="79" t="str">
        <x:v>Administration · server-role-scoped group; no CRUD-only or unsupported placeholder tab.</x:v>
      </x:c>
      <x:c r="R25" s="79" t="str">
        <x:v>Shared Admin control-plane shell V1. Global controls remain shared; filters, modes, data states and actions remain owned by this screen's vertical slice.</x:v>
      </x:c>
    </x:row>
    <x:row r="26" ht="112" customHeight="1">
      <x:c r="A26" s="68" t="str">
        <x:v>CD-008</x:v>
      </x:c>
      <x:c r="B26" s="68" t="str">
        <x:v>SCR-ADM-030</x:v>
      </x:c>
      <x:c r="C26" s="68" t="str">
        <x:v>Package library</x:v>
      </x:c>
      <x:c r="D26" s="68" t="str">
        <x:v>/admin/packages</x:v>
      </x:c>
      <x:c r="E26" s="68" t="str">
        <x:v>apps/web/src/app/admin/packages/DraftEditor.tsx; apps/web/src/app/admin/packages/ImpactPanel.tsx; apps/web/src/app/admin/packages/PackagePreview.tsx; apps/web/src/app/admin/packages/PublishControls.tsx; apps/web/src/app/admin/packages/actions.ts; apps/web/src/app/admin/packages/page.tsx</x:v>
      </x:c>
      <x:c r="F26" s="68" t="str">
        <x:v>Follow imports and runtime composition; enumerate every affected .tsx, .ts, .css, localization and asset path. Never submit only a directory.</x:v>
      </x:c>
      <x:c r="G26" s="68" t="str">
        <x:v>For each exact path: current responsibility, relevant component/export/selector/token, behavior/data hooks, and current visual evidence.</x:v>
      </x:c>
      <x:c r="H26" s="68" t="str">
        <x:v>PRESERVE / UPDATE / CREATE / REMOVE. REMOVE requires explicit human approval.</x:v>
      </x:c>
      <x:c r="I26" s="68" t="str">
        <x:v>For each exact path: future responsibility, mapped design node, exact code target, reason, dependency/RTL/theme impact, tests and rollback.</x:v>
      </x:c>
      <x:c r="J26" s="68" t="str">
        <x:v>Routes; handlers/server actions; Supabase schemas/calls; RLS/RBAC; audit; canonical transitions; offline/conflicts; immutability; localization; test selectors; accessibility.</x:v>
      </x:c>
      <x:c r="K26" s="68" t="str">
        <x:v>IMPLEMENTATION_MANIFEST_CD-008.yaml; COMPONENT_MAP_CD-008.csv; CLAUDE_CODE_HANDOFF_CD-008.md; ACCEPTANCE_CHECKLIST_CD-008.md; primary/outlier PNGs</x:v>
      </x:c>
      <x:c r="L26" s="68" t="str">
        <x:v>Semantic tokens → approved assets → shared components → route composition → localization → tests/evidence.</x:v>
      </x:c>
      <x:c r="M26" s="68" t="str">
        <x:v>UI trigger → client → route/server action → validation/guard → table/RPC/storage/provider → RLS/role → canonical transition → audit/notification → tests/evidence</x:v>
      </x:c>
      <x:c r="N26" s="68" t="str">
        <x:v>Discover against current repository/runtime; unsupported legs are HANDOFF_BLOCKED.</x:v>
      </x:c>
      <x:c r="O26" s="68" t="str">
        <x:v>DESIGN_APPROVED → WIRING_AUDIT → IMPLEMENTATION_AUTHORIZED → IMPLEMENTED_UNVERIFIED → VERTICAL_SLICE_PASS → SPONSOR_RUNTIME_ACCEPTED</x:v>
      </x:c>
      <x:c r="P26" s="73" t="str">
        <x:v>Shell.tsx → ShellClient.tsx → shell-navigation.ts → astryx.css</x:v>
      </x:c>
      <x:c r="Q26" s="73" t="str">
        <x:v>Packages &amp; Surveys · server-role-scoped group; no CRUD-only or unsupported placeholder tab.</x:v>
      </x:c>
      <x:c r="R26" s="73" t="str">
        <x:v>Shared Admin control-plane shell V1. Global controls remain shared; filters, modes, data states and actions remain owned by this screen's vertical slice.</x:v>
      </x:c>
    </x:row>
    <x:row r="27" ht="112" customHeight="1">
      <x:c r="A27" s="74" t="str">
        <x:v>CD-009</x:v>
      </x:c>
      <x:c r="B27" s="74" t="str">
        <x:v>SCR-ADM-031</x:v>
      </x:c>
      <x:c r="C27" s="74" t="str">
        <x:v>Package and form designer</x:v>
      </x:c>
      <x:c r="D27" s="74" t="str">
        <x:v>/admin/packages (designer mode)</x:v>
      </x:c>
      <x:c r="E27" s="74" t="str">
        <x:v>apps/web/src/app/admin/packages/DraftEditor.tsx; apps/web/src/app/admin/packages/ImpactPanel.tsx; apps/web/src/app/admin/packages/PackagePreview.tsx; apps/web/src/app/admin/packages/PublishControls.tsx; apps/web/src/app/admin/packages/actions.ts; apps/web/src/app/admin/packages/page.tsx</x:v>
      </x:c>
      <x:c r="F27" s="74" t="str">
        <x:v>Follow imports and runtime composition; enumerate every affected .tsx, .ts, .css, localization and asset path. Never submit only a directory.</x:v>
      </x:c>
      <x:c r="G27" s="74" t="str">
        <x:v>For each exact path: current responsibility, relevant component/export/selector/token, behavior/data hooks, and current visual evidence.</x:v>
      </x:c>
      <x:c r="H27" s="74" t="str">
        <x:v>PRESERVE / UPDATE / CREATE / REMOVE. REMOVE requires explicit human approval.</x:v>
      </x:c>
      <x:c r="I27" s="74" t="str">
        <x:v>For each exact path: future responsibility, mapped design node, exact code target, reason, dependency/RTL/theme impact, tests and rollback.</x:v>
      </x:c>
      <x:c r="J27" s="74" t="str">
        <x:v>Routes; handlers/server actions; Supabase schemas/calls; RLS/RBAC; audit; canonical transitions; offline/conflicts; immutability; localization; test selectors; accessibility.</x:v>
      </x:c>
      <x:c r="K27" s="74" t="str">
        <x:v>IMPLEMENTATION_MANIFEST_CD-009.yaml; COMPONENT_MAP_CD-009.csv; CLAUDE_CODE_HANDOFF_CD-009.md; ACCEPTANCE_CHECKLIST_CD-009.md; primary/outlier PNGs</x:v>
      </x:c>
      <x:c r="L27" s="74" t="str">
        <x:v>Semantic tokens → approved assets → shared components → route composition → localization → tests/evidence.</x:v>
      </x:c>
      <x:c r="M27" s="74" t="str">
        <x:v>UI trigger → client → route/server action → validation/guard → table/RPC/storage/provider → RLS/role → canonical transition → audit/notification → tests/evidence</x:v>
      </x:c>
      <x:c r="N27" s="74" t="str">
        <x:v>Discover against current repository/runtime; unsupported legs are HANDOFF_BLOCKED.</x:v>
      </x:c>
      <x:c r="O27" s="74" t="str">
        <x:v>DESIGN_APPROVED → WIRING_AUDIT → IMPLEMENTATION_AUTHORIZED → IMPLEMENTED_UNVERIFIED → VERTICAL_SLICE_PASS → SPONSOR_RUNTIME_ACCEPTED</x:v>
      </x:c>
      <x:c r="P27" s="79" t="str">
        <x:v>Shell.tsx → ShellClient.tsx → shell-navigation.ts → astryx.css</x:v>
      </x:c>
      <x:c r="Q27" s="79" t="str">
        <x:v>Packages &amp; Surveys · server-role-scoped group; no CRUD-only or unsupported placeholder tab.</x:v>
      </x:c>
      <x:c r="R27" s="79" t="str">
        <x:v>Shared Admin control-plane shell V1. Global controls remain shared; filters, modes, data states and actions remain owned by this screen's vertical slice.</x:v>
      </x:c>
    </x:row>
    <x:row r="28" ht="112" customHeight="1">
      <x:c r="A28" s="68" t="str">
        <x:v>CD-010</x:v>
      </x:c>
      <x:c r="B28" s="68" t="str">
        <x:v>SCR-ADM-040</x:v>
      </x:c>
      <x:c r="C28" s="68" t="str">
        <x:v>Violation catalogue</x:v>
      </x:c>
      <x:c r="D28" s="68" t="str">
        <x:v>/admin/violations</x:v>
      </x:c>
      <x:c r="E28" s="68" t="str">
        <x:v>apps/web/src/app/admin/violations/Controls.tsx; apps/web/src/app/admin/violations/actions.ts; apps/web/src/app/admin/violations/page.tsx</x:v>
      </x:c>
      <x:c r="F28" s="68" t="str">
        <x:v>Follow imports and runtime composition; enumerate every affected .tsx, .ts, .css, localization and asset path. Never submit only a directory.</x:v>
      </x:c>
      <x:c r="G28" s="68" t="str">
        <x:v>For each exact path: current responsibility, relevant component/export/selector/token, behavior/data hooks, and current visual evidence.</x:v>
      </x:c>
      <x:c r="H28" s="68" t="str">
        <x:v>PRESERVE / UPDATE / CREATE / REMOVE. REMOVE requires explicit human approval.</x:v>
      </x:c>
      <x:c r="I28" s="68" t="str">
        <x:v>For each exact path: future responsibility, mapped design node, exact code target, reason, dependency/RTL/theme impact, tests and rollback.</x:v>
      </x:c>
      <x:c r="J28" s="68" t="str">
        <x:v>Routes; handlers/server actions; Supabase schemas/calls; RLS/RBAC; audit; canonical transitions; offline/conflicts; immutability; localization; test selectors; accessibility.</x:v>
      </x:c>
      <x:c r="K28" s="68" t="str">
        <x:v>IMPLEMENTATION_MANIFEST_CD-010.yaml; COMPONENT_MAP_CD-010.csv; CLAUDE_CODE_HANDOFF_CD-010.md; ACCEPTANCE_CHECKLIST_CD-010.md; primary/outlier PNGs</x:v>
      </x:c>
      <x:c r="L28" s="68" t="str">
        <x:v>Semantic tokens → approved assets → shared components → route composition → localization → tests/evidence.</x:v>
      </x:c>
      <x:c r="M28" s="68" t="str">
        <x:v>UI trigger → client → route/server action → validation/guard → table/RPC/storage/provider → RLS/role → canonical transition → audit/notification → tests/evidence</x:v>
      </x:c>
      <x:c r="N28" s="68" t="str">
        <x:v>Discover against current repository/runtime; unsupported legs are HANDOFF_BLOCKED.</x:v>
      </x:c>
      <x:c r="O28" s="68" t="str">
        <x:v>DESIGN_APPROVED → WIRING_AUDIT → IMPLEMENTATION_AUTHORIZED → IMPLEMENTED_UNVERIFIED → VERTICAL_SLICE_PASS → SPONSOR_RUNTIME_ACCEPTED</x:v>
      </x:c>
      <x:c r="P28" s="73" t="str">
        <x:v>Shell.tsx → ShellClient.tsx → shell-navigation.ts → astryx.css</x:v>
      </x:c>
      <x:c r="Q28" s="73" t="str">
        <x:v>Enforcement Library · server-role-scoped group; no CRUD-only or unsupported placeholder tab.</x:v>
      </x:c>
      <x:c r="R28" s="73" t="str">
        <x:v>Shared Admin control-plane shell V1. Global controls remain shared; filters, modes, data states and actions remain owned by this screen's vertical slice.</x:v>
      </x:c>
    </x:row>
    <x:row r="29" ht="112" customHeight="1">
      <x:c r="A29" s="74" t="str">
        <x:v>CD-011</x:v>
      </x:c>
      <x:c r="B29" s="74" t="str">
        <x:v>SCR-ADM-041</x:v>
      </x:c>
      <x:c r="C29" s="74" t="str">
        <x:v>Penalty mapping</x:v>
      </x:c>
      <x:c r="D29" s="74" t="str">
        <x:v>/admin/violations (penalty mode)</x:v>
      </x:c>
      <x:c r="E29" s="74" t="str">
        <x:v>apps/web/src/app/admin/violations/Controls.tsx; apps/web/src/app/admin/violations/actions.ts; apps/web/src/app/admin/violations/page.tsx</x:v>
      </x:c>
      <x:c r="F29" s="74" t="str">
        <x:v>Follow imports and runtime composition; enumerate every affected .tsx, .ts, .css, localization and asset path. Never submit only a directory.</x:v>
      </x:c>
      <x:c r="G29" s="74" t="str">
        <x:v>For each exact path: current responsibility, relevant component/export/selector/token, behavior/data hooks, and current visual evidence.</x:v>
      </x:c>
      <x:c r="H29" s="74" t="str">
        <x:v>PRESERVE / UPDATE / CREATE / REMOVE. REMOVE requires explicit human approval.</x:v>
      </x:c>
      <x:c r="I29" s="74" t="str">
        <x:v>For each exact path: future responsibility, mapped design node, exact code target, reason, dependency/RTL/theme impact, tests and rollback.</x:v>
      </x:c>
      <x:c r="J29" s="74" t="str">
        <x:v>Routes; handlers/server actions; Supabase schemas/calls; RLS/RBAC; audit; canonical transitions; offline/conflicts; immutability; localization; test selectors; accessibility.</x:v>
      </x:c>
      <x:c r="K29" s="74" t="str">
        <x:v>IMPLEMENTATION_MANIFEST_CD-011.yaml; COMPONENT_MAP_CD-011.csv; CLAUDE_CODE_HANDOFF_CD-011.md; ACCEPTANCE_CHECKLIST_CD-011.md; primary/outlier PNGs</x:v>
      </x:c>
      <x:c r="L29" s="74" t="str">
        <x:v>Semantic tokens → approved assets → shared components → route composition → localization → tests/evidence.</x:v>
      </x:c>
      <x:c r="M29" s="74" t="str">
        <x:v>UI trigger → client → route/server action → validation/guard → table/RPC/storage/provider → RLS/role → canonical transition → audit/notification → tests/evidence</x:v>
      </x:c>
      <x:c r="N29" s="74" t="str">
        <x:v>Discover against current repository/runtime; unsupported legs are HANDOFF_BLOCKED.</x:v>
      </x:c>
      <x:c r="O29" s="74" t="str">
        <x:v>DESIGN_APPROVED → WIRING_AUDIT → IMPLEMENTATION_AUTHORIZED → IMPLEMENTED_UNVERIFIED → VERTICAL_SLICE_PASS → SPONSOR_RUNTIME_ACCEPTED</x:v>
      </x:c>
      <x:c r="P29" s="79" t="str">
        <x:v>Shell.tsx → ShellClient.tsx → shell-navigation.ts → astryx.css</x:v>
      </x:c>
      <x:c r="Q29" s="79" t="str">
        <x:v>Enforcement Library · server-role-scoped group; no CRUD-only or unsupported placeholder tab.</x:v>
      </x:c>
      <x:c r="R29" s="79" t="str">
        <x:v>Shared Admin control-plane shell V1. Global controls remain shared; filters, modes, data states and actions remain owned by this screen's vertical slice.</x:v>
      </x:c>
    </x:row>
    <x:row r="30" ht="112" customHeight="1">
      <x:c r="A30" s="68" t="str">
        <x:v>CD-012</x:v>
      </x:c>
      <x:c r="B30" s="68" t="str">
        <x:v>SCR-ADM-050</x:v>
      </x:c>
      <x:c r="C30" s="68" t="str">
        <x:v>Workflow library</x:v>
      </x:c>
      <x:c r="D30" s="68" t="str">
        <x:v>/admin/workflows</x:v>
      </x:c>
      <x:c r="E30" s="68" t="str">
        <x:v>apps/web/src/app/admin/workflows/Controls.tsx; apps/web/src/app/admin/workflows/actions.ts; apps/web/src/app/admin/workflows/page.tsx</x:v>
      </x:c>
      <x:c r="F30" s="68" t="str">
        <x:v>Follow imports and runtime composition; enumerate every affected .tsx, .ts, .css, localization and asset path. Never submit only a directory.</x:v>
      </x:c>
      <x:c r="G30" s="68" t="str">
        <x:v>For each exact path: current responsibility, relevant component/export/selector/token, behavior/data hooks, and current visual evidence.</x:v>
      </x:c>
      <x:c r="H30" s="68" t="str">
        <x:v>PRESERVE / UPDATE / CREATE / REMOVE. REMOVE requires explicit human approval.</x:v>
      </x:c>
      <x:c r="I30" s="68" t="str">
        <x:v>For each exact path: future responsibility, mapped design node, exact code target, reason, dependency/RTL/theme impact, tests and rollback.</x:v>
      </x:c>
      <x:c r="J30" s="68" t="str">
        <x:v>Routes; handlers/server actions; Supabase schemas/calls; RLS/RBAC; audit; canonical transitions; offline/conflicts; immutability; localization; test selectors; accessibility.</x:v>
      </x:c>
      <x:c r="K30" s="68" t="str">
        <x:v>IMPLEMENTATION_MANIFEST_CD-012.yaml; COMPONENT_MAP_CD-012.csv; CLAUDE_CODE_HANDOFF_CD-012.md; ACCEPTANCE_CHECKLIST_CD-012.md; primary/outlier PNGs</x:v>
      </x:c>
      <x:c r="L30" s="68" t="str">
        <x:v>Semantic tokens → approved assets → shared components → route composition → localization → tests/evidence.</x:v>
      </x:c>
      <x:c r="M30" s="68" t="str">
        <x:v>UI trigger → client → route/server action → validation/guard → table/RPC/storage/provider → RLS/role → canonical transition → audit/notification → tests/evidence</x:v>
      </x:c>
      <x:c r="N30" s="68" t="str">
        <x:v>Discover against current repository/runtime; unsupported legs are HANDOFF_BLOCKED.</x:v>
      </x:c>
      <x:c r="O30" s="68" t="str">
        <x:v>DESIGN_APPROVED → WIRING_AUDIT → IMPLEMENTATION_AUTHORIZED → IMPLEMENTED_UNVERIFIED → VERTICAL_SLICE_PASS → SPONSOR_RUNTIME_ACCEPTED</x:v>
      </x:c>
      <x:c r="P30" s="73" t="str">
        <x:v>Shell.tsx → ShellClient.tsx → shell-navigation.ts → astryx.css</x:v>
      </x:c>
      <x:c r="Q30" s="73" t="str">
        <x:v>Workflow Configuration · server-role-scoped group; no CRUD-only or unsupported placeholder tab.</x:v>
      </x:c>
      <x:c r="R30" s="73" t="str">
        <x:v>Shared Admin control-plane shell V1. Global controls remain shared; filters, modes, data states and actions remain owned by this screen's vertical slice.</x:v>
      </x:c>
    </x:row>
    <x:row r="31" ht="112" customHeight="1">
      <x:c r="A31" s="74" t="str">
        <x:v>CD-013</x:v>
      </x:c>
      <x:c r="B31" s="74" t="str">
        <x:v>SCR-ADM-051</x:v>
      </x:c>
      <x:c r="C31" s="74" t="str">
        <x:v>Workflow designer</x:v>
      </x:c>
      <x:c r="D31" s="74" t="str">
        <x:v>/admin/workflows (designer mode)</x:v>
      </x:c>
      <x:c r="E31" s="74" t="str">
        <x:v>apps/web/src/app/admin/workflows/Controls.tsx; apps/web/src/app/admin/workflows/actions.ts; apps/web/src/app/admin/workflows/page.tsx</x:v>
      </x:c>
      <x:c r="F31" s="74" t="str">
        <x:v>Follow imports and runtime composition; enumerate every affected .tsx, .ts, .css, localization and asset path. Never submit only a directory.</x:v>
      </x:c>
      <x:c r="G31" s="74" t="str">
        <x:v>For each exact path: current responsibility, relevant component/export/selector/token, behavior/data hooks, and current visual evidence.</x:v>
      </x:c>
      <x:c r="H31" s="74" t="str">
        <x:v>PRESERVE / UPDATE / CREATE / REMOVE. REMOVE requires explicit human approval.</x:v>
      </x:c>
      <x:c r="I31" s="74" t="str">
        <x:v>For each exact path: future responsibility, mapped design node, exact code target, reason, dependency/RTL/theme impact, tests and rollback.</x:v>
      </x:c>
      <x:c r="J31" s="74" t="str">
        <x:v>Routes; handlers/server actions; Supabase schemas/calls; RLS/RBAC; audit; canonical transitions; offline/conflicts; immutability; localization; test selectors; accessibility.</x:v>
      </x:c>
      <x:c r="K31" s="74" t="str">
        <x:v>IMPLEMENTATION_MANIFEST_CD-013.yaml; COMPONENT_MAP_CD-013.csv; CLAUDE_CODE_HANDOFF_CD-013.md; ACCEPTANCE_CHECKLIST_CD-013.md; primary/outlier PNGs</x:v>
      </x:c>
      <x:c r="L31" s="74" t="str">
        <x:v>Semantic tokens → approved assets → shared components → route composition → localization → tests/evidence.</x:v>
      </x:c>
      <x:c r="M31" s="74" t="str">
        <x:v>UI trigger → client → route/server action → validation/guard → table/RPC/storage/provider → RLS/role → canonical transition → audit/notification → tests/evidence</x:v>
      </x:c>
      <x:c r="N31" s="74" t="str">
        <x:v>Discover against current repository/runtime; unsupported legs are HANDOFF_BLOCKED.</x:v>
      </x:c>
      <x:c r="O31" s="74" t="str">
        <x:v>DESIGN_APPROVED → WIRING_AUDIT → IMPLEMENTATION_AUTHORIZED → IMPLEMENTED_UNVERIFIED → VERTICAL_SLICE_PASS → SPONSOR_RUNTIME_ACCEPTED</x:v>
      </x:c>
      <x:c r="P31" s="79" t="str">
        <x:v>Shell.tsx → ShellClient.tsx → shell-navigation.ts → astryx.css</x:v>
      </x:c>
      <x:c r="Q31" s="79" t="str">
        <x:v>Workflow Configuration · server-role-scoped group; no CRUD-only or unsupported placeholder tab.</x:v>
      </x:c>
      <x:c r="R31" s="79" t="str">
        <x:v>Shared Admin control-plane shell V1. Global controls remain shared; filters, modes, data states and actions remain owned by this screen's vertical slice.</x:v>
      </x:c>
    </x:row>
    <x:row r="32" ht="112" customHeight="1">
      <x:c r="A32" s="68" t="str">
        <x:v>CD-014</x:v>
      </x:c>
      <x:c r="B32" s="68" t="str">
        <x:v>SCR-ADM-060</x:v>
      </x:c>
      <x:c r="C32" s="68" t="str">
        <x:v>Risk configuration</x:v>
      </x:c>
      <x:c r="D32" s="68" t="str">
        <x:v>/admin/risk</x:v>
      </x:c>
      <x:c r="E32" s="68" t="str">
        <x:v>apps/web/src/app/admin/risk/actions.ts; apps/web/src/app/admin/risk/page.tsx</x:v>
      </x:c>
      <x:c r="F32" s="68" t="str">
        <x:v>Follow imports and runtime composition; enumerate every affected .tsx, .ts, .css, localization and asset path. Never submit only a directory.</x:v>
      </x:c>
      <x:c r="G32" s="68" t="str">
        <x:v>For each exact path: current responsibility, relevant component/export/selector/token, behavior/data hooks, and current visual evidence.</x:v>
      </x:c>
      <x:c r="H32" s="68" t="str">
        <x:v>PRESERVE / UPDATE / CREATE / REMOVE. REMOVE requires explicit human approval.</x:v>
      </x:c>
      <x:c r="I32" s="68" t="str">
        <x:v>For each exact path: future responsibility, mapped design node, exact code target, reason, dependency/RTL/theme impact, tests and rollback.</x:v>
      </x:c>
      <x:c r="J32" s="68" t="str">
        <x:v>Routes; handlers/server actions; Supabase schemas/calls; RLS/RBAC; audit; canonical transitions; offline/conflicts; immutability; localization; test selectors; accessibility.</x:v>
      </x:c>
      <x:c r="K32" s="68" t="str">
        <x:v>IMPLEMENTATION_MANIFEST_CD-014.yaml; COMPONENT_MAP_CD-014.csv; CLAUDE_CODE_HANDOFF_CD-014.md; ACCEPTANCE_CHECKLIST_CD-014.md; primary/outlier PNGs</x:v>
      </x:c>
      <x:c r="L32" s="68" t="str">
        <x:v>Semantic tokens → approved assets → shared components → route composition → localization → tests/evidence.</x:v>
      </x:c>
      <x:c r="M32" s="68" t="str">
        <x:v>UI trigger → client → route/server action → validation/guard → table/RPC/storage/provider → RLS/role → canonical transition → audit/notification → tests/evidence</x:v>
      </x:c>
      <x:c r="N32" s="68" t="str">
        <x:v>Discover against current repository/runtime; unsupported legs are HANDOFF_BLOCKED.</x:v>
      </x:c>
      <x:c r="O32" s="68" t="str">
        <x:v>DESIGN_APPROVED → WIRING_AUDIT → IMPLEMENTATION_AUTHORIZED → IMPLEMENTED_UNVERIFIED → VERTICAL_SLICE_PASS → SPONSOR_RUNTIME_ACCEPTED</x:v>
      </x:c>
      <x:c r="P32" s="73" t="str">
        <x:v>Shell.tsx → ShellClient.tsx → shell-navigation.ts → astryx.css</x:v>
      </x:c>
      <x:c r="Q32" s="73" t="str">
        <x:v>Risk Configuration · server-role-scoped group; no CRUD-only or unsupported placeholder tab.</x:v>
      </x:c>
      <x:c r="R32" s="73" t="str">
        <x:v>Shared Admin control-plane shell V1. Global controls remain shared; filters, modes, data states and actions remain owned by this screen's vertical slice.</x:v>
      </x:c>
    </x:row>
    <x:row r="33" ht="112" customHeight="1">
      <x:c r="A33" s="74" t="str">
        <x:v>CD-015</x:v>
      </x:c>
      <x:c r="B33" s="74" t="str">
        <x:v>SCR-ADM-070</x:v>
      </x:c>
      <x:c r="C33" s="74" t="str">
        <x:v>GIS and geofence studio</x:v>
      </x:c>
      <x:c r="D33" s="74" t="str">
        <x:v>/admin/gis</x:v>
      </x:c>
      <x:c r="E33" s="74" t="str">
        <x:v>apps/web/src/app/admin/gis/GisStudio.tsx; apps/web/src/app/admin/gis/actions.ts; apps/web/src/app/admin/gis/loading.tsx; apps/web/src/app/admin/gis/page.tsx</x:v>
      </x:c>
      <x:c r="F33" s="74" t="str">
        <x:v>Follow imports and runtime composition; enumerate every affected .tsx, .ts, .css, localization and asset path. Never submit only a directory.</x:v>
      </x:c>
      <x:c r="G33" s="74" t="str">
        <x:v>For each exact path: current responsibility, relevant component/export/selector/token, behavior/data hooks, and current visual evidence.</x:v>
      </x:c>
      <x:c r="H33" s="74" t="str">
        <x:v>PRESERVE / UPDATE / CREATE / REMOVE. REMOVE requires explicit human approval.</x:v>
      </x:c>
      <x:c r="I33" s="74" t="str">
        <x:v>For each exact path: future responsibility, mapped design node, exact code target, reason, dependency/RTL/theme impact, tests and rollback.</x:v>
      </x:c>
      <x:c r="J33" s="74" t="str">
        <x:v>Routes; handlers/server actions; Supabase schemas/calls; RLS/RBAC; audit; canonical transitions; offline/conflicts; immutability; localization; test selectors; accessibility.</x:v>
      </x:c>
      <x:c r="K33" s="74" t="str">
        <x:v>IMPLEMENTATION_MANIFEST_CD-015.yaml; COMPONENT_MAP_CD-015.csv; CLAUDE_CODE_HANDOFF_CD-015.md; ACCEPTANCE_CHECKLIST_CD-015.md; primary/outlier PNGs</x:v>
      </x:c>
      <x:c r="L33" s="74" t="str">
        <x:v>Semantic tokens → approved assets → shared components → route composition → localization → tests/evidence.</x:v>
      </x:c>
      <x:c r="M33" s="74" t="str">
        <x:v>UI trigger → client → route/server action → validation/guard → table/RPC/storage/provider → RLS/role → canonical transition → audit/notification → tests/evidence</x:v>
      </x:c>
      <x:c r="N33" s="74" t="str">
        <x:v>Discover against current repository/runtime; unsupported legs are HANDOFF_BLOCKED.</x:v>
      </x:c>
      <x:c r="O33" s="74" t="str">
        <x:v>DESIGN_APPROVED → WIRING_AUDIT → IMPLEMENTATION_AUTHORIZED → IMPLEMENTED_UNVERIFIED → VERTICAL_SLICE_PASS → SPONSOR_RUNTIME_ACCEPTED</x:v>
      </x:c>
      <x:c r="P33" s="79" t="str">
        <x:v>Shell.tsx → ShellClient.tsx → shell-navigation.ts → astryx.css</x:v>
      </x:c>
      <x:c r="Q33" s="79" t="str">
        <x:v>GIS Configuration · server-role-scoped group; no CRUD-only or unsupported placeholder tab.</x:v>
      </x:c>
      <x:c r="R33" s="79" t="str">
        <x:v>Shared Admin control-plane shell V1. Global controls remain shared; filters, modes, data states and actions remain owned by this screen's vertical slice.</x:v>
      </x:c>
    </x:row>
    <x:row r="34" ht="112" customHeight="1">
      <x:c r="A34" s="68" t="str">
        <x:v>CD-016</x:v>
      </x:c>
      <x:c r="B34" s="68" t="str">
        <x:v>SCR-ADM-080</x:v>
      </x:c>
      <x:c r="C34" s="68" t="str">
        <x:v>Notification and SLA rules</x:v>
      </x:c>
      <x:c r="D34" s="68" t="str">
        <x:v>/admin (current consolidated surface)</x:v>
      </x:c>
      <x:c r="E34" s="68" t="str">
        <x:v>apps/web/src/app/admin/page.tsx; apps/web/src/components/NotificationBell.tsx</x:v>
      </x:c>
      <x:c r="F34" s="68" t="str">
        <x:v>Follow imports and runtime composition; enumerate every affected .tsx, .ts, .css, localization and asset path. Never submit only a directory.</x:v>
      </x:c>
      <x:c r="G34" s="68" t="str">
        <x:v>For each exact path: current responsibility, relevant component/export/selector/token, behavior/data hooks, and current visual evidence.</x:v>
      </x:c>
      <x:c r="H34" s="68" t="str">
        <x:v>PRESERVE / UPDATE / CREATE / REMOVE. REMOVE requires explicit human approval.</x:v>
      </x:c>
      <x:c r="I34" s="68" t="str">
        <x:v>For each exact path: future responsibility, mapped design node, exact code target, reason, dependency/RTL/theme impact, tests and rollback.</x:v>
      </x:c>
      <x:c r="J34" s="68" t="str">
        <x:v>Routes; handlers/server actions; Supabase schemas/calls; RLS/RBAC; audit; canonical transitions; offline/conflicts; immutability; localization; test selectors; accessibility.</x:v>
      </x:c>
      <x:c r="K34" s="68" t="str">
        <x:v>IMPLEMENTATION_MANIFEST_CD-016.yaml; COMPONENT_MAP_CD-016.csv; CLAUDE_CODE_HANDOFF_CD-016.md; ACCEPTANCE_CHECKLIST_CD-016.md; primary/outlier PNGs</x:v>
      </x:c>
      <x:c r="L34" s="68" t="str">
        <x:v>Semantic tokens → approved assets → shared components → route composition → localization → tests/evidence.</x:v>
      </x:c>
      <x:c r="M34" s="68" t="str">
        <x:v>UI trigger → client → route/server action → validation/guard → table/RPC/storage/provider → RLS/role → canonical transition → audit/notification → tests/evidence</x:v>
      </x:c>
      <x:c r="N34" s="68" t="str">
        <x:v>Discover against current repository/runtime; unsupported legs are HANDOFF_BLOCKED.</x:v>
      </x:c>
      <x:c r="O34" s="68" t="str">
        <x:v>DESIGN_APPROVED → WIRING_AUDIT → IMPLEMENTATION_AUTHORIZED → IMPLEMENTED_UNVERIFIED → VERTICAL_SLICE_PASS → SPONSOR_RUNTIME_ACCEPTED</x:v>
      </x:c>
      <x:c r="P34" s="73" t="str">
        <x:v>Shell.tsx → ShellClient.tsx → shell-navigation.ts → astryx.css</x:v>
      </x:c>
      <x:c r="Q34" s="73" t="str">
        <x:v>Notification Configuration — HANDOFF_BLOCKED · server-role-scoped group; no CRUD-only or unsupported placeholder tab.</x:v>
      </x:c>
      <x:c r="R34" s="73" t="str">
        <x:v>Shared Admin control-plane shell V1. Global controls remain shared; filters, modes, data states and actions remain owned by this screen's vertical slice.</x:v>
      </x:c>
    </x:row>
    <x:row r="35" ht="112" customHeight="1">
      <x:c r="A35" s="74" t="str">
        <x:v>CD-017</x:v>
      </x:c>
      <x:c r="B35" s="74" t="str">
        <x:v>SCR-ADM-090</x:v>
      </x:c>
      <x:c r="C35" s="74" t="str">
        <x:v>Roles and permissions</x:v>
      </x:c>
      <x:c r="D35" s="74" t="str">
        <x:v>/admin/access</x:v>
      </x:c>
      <x:c r="E35" s="74" t="str">
        <x:v>apps/web/src/app/admin/access/page.tsx</x:v>
      </x:c>
      <x:c r="F35" s="74" t="str">
        <x:v>Follow imports and runtime composition; enumerate every affected .tsx, .ts, .css, localization and asset path. Never submit only a directory.</x:v>
      </x:c>
      <x:c r="G35" s="74" t="str">
        <x:v>For each exact path: current responsibility, relevant component/export/selector/token, behavior/data hooks, and current visual evidence.</x:v>
      </x:c>
      <x:c r="H35" s="74" t="str">
        <x:v>PRESERVE / UPDATE / CREATE / REMOVE. REMOVE requires explicit human approval.</x:v>
      </x:c>
      <x:c r="I35" s="74" t="str">
        <x:v>For each exact path: future responsibility, mapped design node, exact code target, reason, dependency/RTL/theme impact, tests and rollback.</x:v>
      </x:c>
      <x:c r="J35" s="74" t="str">
        <x:v>Routes; handlers/server actions; Supabase schemas/calls; RLS/RBAC; audit; canonical transitions; offline/conflicts; immutability; localization; test selectors; accessibility.</x:v>
      </x:c>
      <x:c r="K35" s="74" t="str">
        <x:v>IMPLEMENTATION_MANIFEST_CD-017.yaml; COMPONENT_MAP_CD-017.csv; CLAUDE_CODE_HANDOFF_CD-017.md; ACCEPTANCE_CHECKLIST_CD-017.md; primary/outlier PNGs</x:v>
      </x:c>
      <x:c r="L35" s="74" t="str">
        <x:v>Semantic tokens → approved assets → shared components → route composition → localization → tests/evidence.</x:v>
      </x:c>
      <x:c r="M35" s="74" t="str">
        <x:v>UI trigger → client → route/server action → validation/guard → table/RPC/storage/provider → RLS/role → canonical transition → audit/notification → tests/evidence</x:v>
      </x:c>
      <x:c r="N35" s="74" t="str">
        <x:v>Discover against current repository/runtime; unsupported legs are HANDOFF_BLOCKED.</x:v>
      </x:c>
      <x:c r="O35" s="74" t="str">
        <x:v>DESIGN_APPROVED → WIRING_AUDIT → IMPLEMENTATION_AUTHORIZED → IMPLEMENTED_UNVERIFIED → VERTICAL_SLICE_PASS → SPONSOR_RUNTIME_ACCEPTED</x:v>
      </x:c>
      <x:c r="P35" s="79" t="str">
        <x:v>Shell.tsx → ShellClient.tsx → shell-navigation.ts → astryx.css</x:v>
      </x:c>
      <x:c r="Q35" s="79" t="str">
        <x:v>Users &amp; Roles · server-role-scoped group; no CRUD-only or unsupported placeholder tab.</x:v>
      </x:c>
      <x:c r="R35" s="79" t="str">
        <x:v>Shared Admin control-plane shell V1. Global controls remain shared; filters, modes, data states and actions remain owned by this screen's vertical slice.</x:v>
      </x:c>
    </x:row>
    <x:row r="36" ht="112" customHeight="1">
      <x:c r="A36" s="68" t="str">
        <x:v>CD-018</x:v>
      </x:c>
      <x:c r="B36" s="68" t="str">
        <x:v>ADM-LOCALIZATION</x:v>
      </x:c>
      <x:c r="C36" s="68" t="str">
        <x:v>Localization studio</x:v>
      </x:c>
      <x:c r="D36" s="68" t="str">
        <x:v>/admin/localization</x:v>
      </x:c>
      <x:c r="E36" s="68" t="str">
        <x:v>apps/web/src/app/admin/localization/Manager.tsx; apps/web/src/app/admin/localization/actions.ts; apps/web/src/app/admin/localization/loading.tsx; apps/web/src/app/admin/localization/page.tsx</x:v>
      </x:c>
      <x:c r="F36" s="68" t="str">
        <x:v>Follow imports and runtime composition; enumerate every affected .tsx, .ts, .css, localization and asset path. Never submit only a directory.</x:v>
      </x:c>
      <x:c r="G36" s="68" t="str">
        <x:v>For each exact path: current responsibility, relevant component/export/selector/token, behavior/data hooks, and current visual evidence.</x:v>
      </x:c>
      <x:c r="H36" s="68" t="str">
        <x:v>PRESERVE / UPDATE / CREATE / REMOVE. REMOVE requires explicit human approval.</x:v>
      </x:c>
      <x:c r="I36" s="68" t="str">
        <x:v>For each exact path: future responsibility, mapped design node, exact code target, reason, dependency/RTL/theme impact, tests and rollback.</x:v>
      </x:c>
      <x:c r="J36" s="68" t="str">
        <x:v>Routes; handlers/server actions; Supabase schemas/calls; RLS/RBAC; audit; canonical transitions; offline/conflicts; immutability; localization; test selectors; accessibility.</x:v>
      </x:c>
      <x:c r="K36" s="68" t="str">
        <x:v>IMPLEMENTATION_MANIFEST_CD-018.yaml; COMPONENT_MAP_CD-018.csv; CLAUDE_CODE_HANDOFF_CD-018.md; ACCEPTANCE_CHECKLIST_CD-018.md; primary/outlier PNGs</x:v>
      </x:c>
      <x:c r="L36" s="68" t="str">
        <x:v>Semantic tokens → approved assets → shared components → route composition → localization → tests/evidence.</x:v>
      </x:c>
      <x:c r="M36" s="68" t="str">
        <x:v>UI trigger → client → route/server action → validation/guard → table/RPC/storage/provider → RLS/role → canonical transition → audit/notification → tests/evidence</x:v>
      </x:c>
      <x:c r="N36" s="68" t="str">
        <x:v>Discover against current repository/runtime; unsupported legs are HANDOFF_BLOCKED.</x:v>
      </x:c>
      <x:c r="O36" s="68" t="str">
        <x:v>DESIGN_APPROVED → WIRING_AUDIT → IMPLEMENTATION_AUTHORIZED → IMPLEMENTED_UNVERIFIED → VERTICAL_SLICE_PASS → SPONSOR_RUNTIME_ACCEPTED</x:v>
      </x:c>
      <x:c r="P36" s="73" t="str">
        <x:v>Shell.tsx → ShellClient.tsx → shell-navigation.ts → astryx.css</x:v>
      </x:c>
      <x:c r="Q36" s="73" t="str">
        <x:v>Administration · server-role-scoped group; no CRUD-only or unsupported placeholder tab.</x:v>
      </x:c>
      <x:c r="R36" s="73" t="str">
        <x:v>Shared Admin control-plane shell V1. Global controls remain shared; filters, modes, data states and actions remain owned by this screen's vertical slice.</x:v>
      </x:c>
    </x:row>
    <x:row r="37" ht="112" customHeight="1">
      <x:c r="A37" s="74" t="str">
        <x:v>CD-019</x:v>
      </x:c>
      <x:c r="B37" s="74" t="str">
        <x:v>ADM-AUDIT</x:v>
      </x:c>
      <x:c r="C37" s="74" t="str">
        <x:v>Audit trail browser</x:v>
      </x:c>
      <x:c r="D37" s="74" t="str">
        <x:v>/admin/audit</x:v>
      </x:c>
      <x:c r="E37" s="74" t="str">
        <x:v>apps/web/src/app/admin/audit/page.tsx</x:v>
      </x:c>
      <x:c r="F37" s="74" t="str">
        <x:v>Follow imports and runtime composition; enumerate every affected .tsx, .ts, .css, localization and asset path. Never submit only a directory.</x:v>
      </x:c>
      <x:c r="G37" s="74" t="str">
        <x:v>For each exact path: current responsibility, relevant component/export/selector/token, behavior/data hooks, and current visual evidence.</x:v>
      </x:c>
      <x:c r="H37" s="74" t="str">
        <x:v>PRESERVE / UPDATE / CREATE / REMOVE. REMOVE requires explicit human approval.</x:v>
      </x:c>
      <x:c r="I37" s="74" t="str">
        <x:v>For each exact path: future responsibility, mapped design node, exact code target, reason, dependency/RTL/theme impact, tests and rollback.</x:v>
      </x:c>
      <x:c r="J37" s="74" t="str">
        <x:v>Routes; handlers/server actions; Supabase schemas/calls; RLS/RBAC; audit; canonical transitions; offline/conflicts; immutability; localization; test selectors; accessibility.</x:v>
      </x:c>
      <x:c r="K37" s="74" t="str">
        <x:v>IMPLEMENTATION_MANIFEST_CD-019.yaml; COMPONENT_MAP_CD-019.csv; CLAUDE_CODE_HANDOFF_CD-019.md; ACCEPTANCE_CHECKLIST_CD-019.md; primary/outlier PNGs</x:v>
      </x:c>
      <x:c r="L37" s="74" t="str">
        <x:v>Semantic tokens → approved assets → shared components → route composition → localization → tests/evidence.</x:v>
      </x:c>
      <x:c r="M37" s="74" t="str">
        <x:v>UI trigger → client → route/server action → validation/guard → table/RPC/storage/provider → RLS/role → canonical transition → audit/notification → tests/evidence</x:v>
      </x:c>
      <x:c r="N37" s="74" t="str">
        <x:v>Discover against current repository/runtime; unsupported legs are HANDOFF_BLOCKED.</x:v>
      </x:c>
      <x:c r="O37" s="74" t="str">
        <x:v>DESIGN_APPROVED → WIRING_AUDIT → IMPLEMENTATION_AUTHORIZED → IMPLEMENTED_UNVERIFIED → VERTICAL_SLICE_PASS → SPONSOR_RUNTIME_ACCEPTED</x:v>
      </x:c>
      <x:c r="P37" s="79" t="str">
        <x:v>Shell.tsx → ShellClient.tsx → shell-navigation.ts → astryx.css</x:v>
      </x:c>
      <x:c r="Q37" s="79" t="str">
        <x:v>Administration · server-role-scoped group; no CRUD-only or unsupported placeholder tab.</x:v>
      </x:c>
      <x:c r="R37" s="79" t="str">
        <x:v>Shared Admin control-plane shell V1. Global controls remain shared; filters, modes, data states and actions remain owned by this screen's vertical slice.</x:v>
      </x:c>
    </x:row>
    <x:row r="38" ht="112" customHeight="1">
      <x:c r="A38" s="68" t="str">
        <x:v>CD-033</x:v>
      </x:c>
      <x:c r="B38" s="68" t="str">
        <x:v>SCR-IPAD-600</x:v>
      </x:c>
      <x:c r="C38" s="68" t="str">
        <x:v>Assigned visits — Today</x:v>
      </x:c>
      <x:c r="D38" s="68" t="str">
        <x:v>/field</x:v>
      </x:c>
      <x:c r="E38" s="68" t="str">
        <x:v>apps/web/src/app/field/page.tsx; apps/web/src/components/field/FieldHome.tsx</x:v>
      </x:c>
      <x:c r="F38" s="68" t="str">
        <x:v>Follow imports and runtime composition; enumerate every affected .tsx, .ts, .css, localization and asset path. Never submit only a directory.</x:v>
      </x:c>
      <x:c r="G38" s="68" t="str">
        <x:v>For each exact path: current responsibility, relevant component/export/selector/token, behavior/data hooks, and current visual evidence.</x:v>
      </x:c>
      <x:c r="H38" s="68" t="str">
        <x:v>PRESERVE / UPDATE / CREATE / REMOVE. REMOVE requires explicit human approval.</x:v>
      </x:c>
      <x:c r="I38" s="68" t="str">
        <x:v>For each exact path: future responsibility, mapped design node, exact code target, reason, dependency/RTL/theme impact, tests and rollback.</x:v>
      </x:c>
      <x:c r="J38" s="68" t="str">
        <x:v>Routes; handlers/server actions; Supabase schemas/calls; RLS/RBAC; audit; canonical transitions; offline/conflicts; immutability; localization; test selectors; accessibility.</x:v>
      </x:c>
      <x:c r="K38" s="68" t="str">
        <x:v>IMPLEMENTATION_MANIFEST_CD-033.yaml; COMPONENT_MAP_CD-033.csv; CLAUDE_CODE_HANDOFF_CD-033.md; ACCEPTANCE_CHECKLIST_CD-033.md; primary/outlier PNGs</x:v>
      </x:c>
      <x:c r="L38" s="68" t="str">
        <x:v>Semantic tokens → approved assets → shared components → route composition → localization → tests/evidence.</x:v>
      </x:c>
      <x:c r="M38" s="68" t="str">
        <x:v>UI trigger → client → route/server action → validation/guard → table/RPC/storage/provider → RLS/role → canonical transition → audit/notification → tests/evidence</x:v>
      </x:c>
      <x:c r="N38" s="68" t="str">
        <x:v>Discover against current repository/runtime; unsupported legs are HANDOFF_BLOCKED.</x:v>
      </x:c>
      <x:c r="O38" s="68" t="str">
        <x:v>DESIGN_APPROVED → WIRING_AUDIT → IMPLEMENTATION_AUTHORIZED → IMPLEMENTED_UNVERIFIED → VERTICAL_SLICE_PASS → SPONSOR_RUNTIME_ACCEPTED</x:v>
      </x:c>
      <x:c r="P38" s="73" t="str">
        <x:v>Shell.tsx → ShellClient.tsx → shell-navigation.ts → astryx.css</x:v>
      </x:c>
      <x:c r="Q38" s="73" t="str">
        <x:v>Keep field tabs, sync truth and touch-first hierarchy; do not import the desktop sidebar.</x:v>
      </x:c>
      <x:c r="R38" s="73" t="str">
        <x:v>Dedicated iPad field shell. Global controls remain shared; filters, modes, data states and actions remain owned by this screen's vertical slice.</x:v>
      </x:c>
    </x:row>
    <x:row r="39" ht="112" customHeight="1">
      <x:c r="A39" s="74" t="str">
        <x:v>CD-034</x:v>
      </x:c>
      <x:c r="B39" s="74" t="str">
        <x:v>SCR-IPAD-610</x:v>
      </x:c>
      <x:c r="C39" s="74" t="str">
        <x:v>Inspector startup pack</x:v>
      </x:c>
      <x:c r="D39" s="74" t="str">
        <x:v>/field/:visitId</x:v>
      </x:c>
      <x:c r="E39" s="74" t="str">
        <x:v>apps/web/src/app/field/[visitId]/Startup.tsx; apps/web/src/app/field/[visitId]/actions.ts; apps/web/src/app/field/[visitId]/loading.tsx; apps/web/src/app/field/[visitId]/page.tsx</x:v>
      </x:c>
      <x:c r="F39" s="74" t="str">
        <x:v>Follow imports and runtime composition; enumerate every affected .tsx, .ts, .css, localization and asset path. Never submit only a directory.</x:v>
      </x:c>
      <x:c r="G39" s="74" t="str">
        <x:v>For each exact path: current responsibility, relevant component/export/selector/token, behavior/data hooks, and current visual evidence.</x:v>
      </x:c>
      <x:c r="H39" s="74" t="str">
        <x:v>PRESERVE / UPDATE / CREATE / REMOVE. REMOVE requires explicit human approval.</x:v>
      </x:c>
      <x:c r="I39" s="74" t="str">
        <x:v>For each exact path: future responsibility, mapped design node, exact code target, reason, dependency/RTL/theme impact, tests and rollback.</x:v>
      </x:c>
      <x:c r="J39" s="74" t="str">
        <x:v>Routes; handlers/server actions; Supabase schemas/calls; RLS/RBAC; audit; canonical transitions; offline/conflicts; immutability; localization; test selectors; accessibility.</x:v>
      </x:c>
      <x:c r="K39" s="74" t="str">
        <x:v>IMPLEMENTATION_MANIFEST_CD-034.yaml; COMPONENT_MAP_CD-034.csv; CLAUDE_CODE_HANDOFF_CD-034.md; ACCEPTANCE_CHECKLIST_CD-034.md; primary/outlier PNGs</x:v>
      </x:c>
      <x:c r="L39" s="74" t="str">
        <x:v>Semantic tokens → approved assets → shared components → route composition → localization → tests/evidence.</x:v>
      </x:c>
      <x:c r="M39" s="74" t="str">
        <x:v>UI trigger → client → route/server action → validation/guard → table/RPC/storage/provider → RLS/role → canonical transition → audit/notification → tests/evidence</x:v>
      </x:c>
      <x:c r="N39" s="74" t="str">
        <x:v>Discover against current repository/runtime; unsupported legs are HANDOFF_BLOCKED.</x:v>
      </x:c>
      <x:c r="O39" s="74" t="str">
        <x:v>DESIGN_APPROVED → WIRING_AUDIT → IMPLEMENTATION_AUTHORIZED → IMPLEMENTED_UNVERIFIED → VERTICAL_SLICE_PASS → SPONSOR_RUNTIME_ACCEPTED</x:v>
      </x:c>
      <x:c r="P39" s="79" t="str">
        <x:v>Shell.tsx → ShellClient.tsx → shell-navigation.ts → astryx.css</x:v>
      </x:c>
      <x:c r="Q39" s="79" t="str">
        <x:v>Keep field tabs, sync truth and touch-first hierarchy; do not import the desktop sidebar.</x:v>
      </x:c>
      <x:c r="R39" s="79" t="str">
        <x:v>Dedicated iPad field shell. Global controls remain shared; filters, modes, data states and actions remain owned by this screen's vertical slice.</x:v>
      </x:c>
    </x:row>
    <x:row r="40" ht="112" customHeight="1">
      <x:c r="A40" s="68" t="str">
        <x:v>CD-035</x:v>
      </x:c>
      <x:c r="B40" s="68" t="str">
        <x:v>SCR-IPAD-620</x:v>
      </x:c>
      <x:c r="C40" s="68" t="str">
        <x:v>Journey and geofence check-in</x:v>
      </x:c>
      <x:c r="D40" s="68" t="str">
        <x:v>/field/:visitId (journey mode)</x:v>
      </x:c>
      <x:c r="E40" s="68" t="str">
        <x:v>apps/web/src/app/field/[visitId]/Startup.tsx</x:v>
      </x:c>
      <x:c r="F40" s="68" t="str">
        <x:v>Follow imports and runtime composition; enumerate every affected .tsx, .ts, .css, localization and asset path. Never submit only a directory.</x:v>
      </x:c>
      <x:c r="G40" s="68" t="str">
        <x:v>For each exact path: current responsibility, relevant component/export/selector/token, behavior/data hooks, and current visual evidence.</x:v>
      </x:c>
      <x:c r="H40" s="68" t="str">
        <x:v>PRESERVE / UPDATE / CREATE / REMOVE. REMOVE requires explicit human approval.</x:v>
      </x:c>
      <x:c r="I40" s="68" t="str">
        <x:v>For each exact path: future responsibility, mapped design node, exact code target, reason, dependency/RTL/theme impact, tests and rollback.</x:v>
      </x:c>
      <x:c r="J40" s="68" t="str">
        <x:v>Routes; handlers/server actions; Supabase schemas/calls; RLS/RBAC; audit; canonical transitions; offline/conflicts; immutability; localization; test selectors; accessibility.</x:v>
      </x:c>
      <x:c r="K40" s="68" t="str">
        <x:v>IMPLEMENTATION_MANIFEST_CD-035.yaml; COMPONENT_MAP_CD-035.csv; CLAUDE_CODE_HANDOFF_CD-035.md; ACCEPTANCE_CHECKLIST_CD-035.md; primary/outlier PNGs</x:v>
      </x:c>
      <x:c r="L40" s="68" t="str">
        <x:v>Semantic tokens → approved assets → shared components → route composition → localization → tests/evidence.</x:v>
      </x:c>
      <x:c r="M40" s="68" t="str">
        <x:v>UI trigger → client → route/server action → validation/guard → table/RPC/storage/provider → RLS/role → canonical transition → audit/notification → tests/evidence</x:v>
      </x:c>
      <x:c r="N40" s="68" t="str">
        <x:v>Discover against current repository/runtime; unsupported legs are HANDOFF_BLOCKED.</x:v>
      </x:c>
      <x:c r="O40" s="68" t="str">
        <x:v>DESIGN_APPROVED → WIRING_AUDIT → IMPLEMENTATION_AUTHORIZED → IMPLEMENTED_UNVERIFIED → VERTICAL_SLICE_PASS → SPONSOR_RUNTIME_ACCEPTED</x:v>
      </x:c>
      <x:c r="P40" s="73" t="str">
        <x:v>Shell.tsx → ShellClient.tsx → shell-navigation.ts → astryx.css</x:v>
      </x:c>
      <x:c r="Q40" s="73" t="str">
        <x:v>Keep field tabs, sync truth and touch-first hierarchy; do not import the desktop sidebar.</x:v>
      </x:c>
      <x:c r="R40" s="73" t="str">
        <x:v>Dedicated iPad field shell. Global controls remain shared; filters, modes, data states and actions remain owned by this screen's vertical slice.</x:v>
      </x:c>
    </x:row>
    <x:row r="41" ht="112" customHeight="1">
      <x:c r="A41" s="74" t="str">
        <x:v>CD-036</x:v>
      </x:c>
      <x:c r="B41" s="74" t="str">
        <x:v>SCR-IPAD-630</x:v>
      </x:c>
      <x:c r="C41" s="74" t="str">
        <x:v>Inspection workspace</x:v>
      </x:c>
      <x:c r="D41" s="74" t="str">
        <x:v>/field/inspection/:id</x:v>
      </x:c>
      <x:c r="E41" s="74" t="str">
        <x:v>apps/web/src/app/field/inspection/[id]/FactoryVerification.tsx; apps/web/src/app/field/inspection/[id]/SignaturePad.tsx; apps/web/src/app/field/inspection/[id]/Workspace.tsx; apps/web/src/app/field/inspection/[id]/page.tsx; apps/web/src/app/field/inspection/[id]/runtime.ts</x:v>
      </x:c>
      <x:c r="F41" s="74" t="str">
        <x:v>Follow imports and runtime composition; enumerate every affected .tsx, .ts, .css, localization and asset path. Never submit only a directory.</x:v>
      </x:c>
      <x:c r="G41" s="74" t="str">
        <x:v>For each exact path: current responsibility, relevant component/export/selector/token, behavior/data hooks, and current visual evidence.</x:v>
      </x:c>
      <x:c r="H41" s="74" t="str">
        <x:v>PRESERVE / UPDATE / CREATE / REMOVE. REMOVE requires explicit human approval.</x:v>
      </x:c>
      <x:c r="I41" s="74" t="str">
        <x:v>For each exact path: future responsibility, mapped design node, exact code target, reason, dependency/RTL/theme impact, tests and rollback.</x:v>
      </x:c>
      <x:c r="J41" s="74" t="str">
        <x:v>Routes; handlers/server actions; Supabase schemas/calls; RLS/RBAC; audit; canonical transitions; offline/conflicts; immutability; localization; test selectors; accessibility.</x:v>
      </x:c>
      <x:c r="K41" s="74" t="str">
        <x:v>IMPLEMENTATION_MANIFEST_CD-036.yaml; COMPONENT_MAP_CD-036.csv; CLAUDE_CODE_HANDOFF_CD-036.md; ACCEPTANCE_CHECKLIST_CD-036.md; primary/outlier PNGs</x:v>
      </x:c>
      <x:c r="L41" s="74" t="str">
        <x:v>Semantic tokens → approved assets → shared components → route composition → localization → tests/evidence.</x:v>
      </x:c>
      <x:c r="M41" s="74" t="str">
        <x:v>UI trigger → client → route/server action → validation/guard → table/RPC/storage/provider → RLS/role → canonical transition → audit/notification → tests/evidence</x:v>
      </x:c>
      <x:c r="N41" s="74" t="str">
        <x:v>Discover against current repository/runtime; unsupported legs are HANDOFF_BLOCKED.</x:v>
      </x:c>
      <x:c r="O41" s="74" t="str">
        <x:v>DESIGN_APPROVED → WIRING_AUDIT → IMPLEMENTATION_AUTHORIZED → IMPLEMENTED_UNVERIFIED → VERTICAL_SLICE_PASS → SPONSOR_RUNTIME_ACCEPTED</x:v>
      </x:c>
      <x:c r="P41" s="79" t="str">
        <x:v>Shell.tsx → ShellClient.tsx → shell-navigation.ts → astryx.css</x:v>
      </x:c>
      <x:c r="Q41" s="79" t="str">
        <x:v>Keep field tabs, sync truth and touch-first hierarchy; do not import the desktop sidebar.</x:v>
      </x:c>
      <x:c r="R41" s="79" t="str">
        <x:v>Dedicated iPad field shell. Global controls remain shared; filters, modes, data states and actions remain owned by this screen's vertical slice.</x:v>
      </x:c>
    </x:row>
    <x:row r="42" ht="112" customHeight="1">
      <x:c r="A42" s="68" t="str">
        <x:v>CD-037</x:v>
      </x:c>
      <x:c r="B42" s="68" t="str">
        <x:v>SCR-IPAD-640</x:v>
      </x:c>
      <x:c r="C42" s="68" t="str">
        <x:v>Evidence capture and chain of custody</x:v>
      </x:c>
      <x:c r="D42" s="68" t="str">
        <x:v>/field/inspection/:id (evidence mode)</x:v>
      </x:c>
      <x:c r="E42" s="68" t="str">
        <x:v>apps/web/src/app/field/inspection/[id]/Workspace.tsx; apps/web/src/components/ImageAnnotator.tsx</x:v>
      </x:c>
      <x:c r="F42" s="68" t="str">
        <x:v>Follow imports and runtime composition; enumerate every affected .tsx, .ts, .css, localization and asset path. Never submit only a directory.</x:v>
      </x:c>
      <x:c r="G42" s="68" t="str">
        <x:v>For each exact path: current responsibility, relevant component/export/selector/token, behavior/data hooks, and current visual evidence.</x:v>
      </x:c>
      <x:c r="H42" s="68" t="str">
        <x:v>PRESERVE / UPDATE / CREATE / REMOVE. REMOVE requires explicit human approval.</x:v>
      </x:c>
      <x:c r="I42" s="68" t="str">
        <x:v>For each exact path: future responsibility, mapped design node, exact code target, reason, dependency/RTL/theme impact, tests and rollback.</x:v>
      </x:c>
      <x:c r="J42" s="68" t="str">
        <x:v>Routes; handlers/server actions; Supabase schemas/calls; RLS/RBAC; audit; canonical transitions; offline/conflicts; immutability; localization; test selectors; accessibility.</x:v>
      </x:c>
      <x:c r="K42" s="68" t="str">
        <x:v>IMPLEMENTATION_MANIFEST_CD-037.yaml; COMPONENT_MAP_CD-037.csv; CLAUDE_CODE_HANDOFF_CD-037.md; ACCEPTANCE_CHECKLIST_CD-037.md; primary/outlier PNGs</x:v>
      </x:c>
      <x:c r="L42" s="68" t="str">
        <x:v>Semantic tokens → approved assets → shared components → route composition → localization → tests/evidence.</x:v>
      </x:c>
      <x:c r="M42" s="68" t="str">
        <x:v>UI trigger → client → route/server action → validation/guard → table/RPC/storage/provider → RLS/role → canonical transition → audit/notification → tests/evidence</x:v>
      </x:c>
      <x:c r="N42" s="68" t="str">
        <x:v>Discover against current repository/runtime; unsupported legs are HANDOFF_BLOCKED.</x:v>
      </x:c>
      <x:c r="O42" s="68" t="str">
        <x:v>DESIGN_APPROVED → WIRING_AUDIT → IMPLEMENTATION_AUTHORIZED → IMPLEMENTED_UNVERIFIED → VERTICAL_SLICE_PASS → SPONSOR_RUNTIME_ACCEPTED</x:v>
      </x:c>
      <x:c r="P42" s="73" t="str">
        <x:v>Shell.tsx → ShellClient.tsx → shell-navigation.ts → astryx.css</x:v>
      </x:c>
      <x:c r="Q42" s="73" t="str">
        <x:v>Keep field tabs, sync truth and touch-first hierarchy; do not import the desktop sidebar.</x:v>
      </x:c>
      <x:c r="R42" s="73" t="str">
        <x:v>Dedicated iPad field shell. Global controls remain shared; filters, modes, data states and actions remain owned by this screen's vertical slice.</x:v>
      </x:c>
    </x:row>
    <x:row r="43" ht="112" customHeight="1">
      <x:c r="A43" s="74" t="str">
        <x:v>CD-038</x:v>
      </x:c>
      <x:c r="B43" s="74" t="str">
        <x:v>SCR-IPAD-650</x:v>
      </x:c>
      <x:c r="C43" s="74" t="str">
        <x:v>Findings, violations and actions</x:v>
      </x:c>
      <x:c r="D43" s="74" t="str">
        <x:v>/field/inspection/:id (findings mode)</x:v>
      </x:c>
      <x:c r="E43" s="74" t="str">
        <x:v>apps/web/src/app/field/inspection/[id]/Workspace.tsx</x:v>
      </x:c>
      <x:c r="F43" s="74" t="str">
        <x:v>Follow imports and runtime composition; enumerate every affected .tsx, .ts, .css, localization and asset path. Never submit only a directory.</x:v>
      </x:c>
      <x:c r="G43" s="74" t="str">
        <x:v>For each exact path: current responsibility, relevant component/export/selector/token, behavior/data hooks, and current visual evidence.</x:v>
      </x:c>
      <x:c r="H43" s="74" t="str">
        <x:v>PRESERVE / UPDATE / CREATE / REMOVE. REMOVE requires explicit human approval.</x:v>
      </x:c>
      <x:c r="I43" s="74" t="str">
        <x:v>For each exact path: future responsibility, mapped design node, exact code target, reason, dependency/RTL/theme impact, tests and rollback.</x:v>
      </x:c>
      <x:c r="J43" s="74" t="str">
        <x:v>Routes; handlers/server actions; Supabase schemas/calls; RLS/RBAC; audit; canonical transitions; offline/conflicts; immutability; localization; test selectors; accessibility.</x:v>
      </x:c>
      <x:c r="K43" s="74" t="str">
        <x:v>IMPLEMENTATION_MANIFEST_CD-038.yaml; COMPONENT_MAP_CD-038.csv; CLAUDE_CODE_HANDOFF_CD-038.md; ACCEPTANCE_CHECKLIST_CD-038.md; primary/outlier PNGs</x:v>
      </x:c>
      <x:c r="L43" s="74" t="str">
        <x:v>Semantic tokens → approved assets → shared components → route composition → localization → tests/evidence.</x:v>
      </x:c>
      <x:c r="M43" s="74" t="str">
        <x:v>UI trigger → client → route/server action → validation/guard → table/RPC/storage/provider → RLS/role → canonical transition → audit/notification → tests/evidence</x:v>
      </x:c>
      <x:c r="N43" s="74" t="str">
        <x:v>Discover against current repository/runtime; unsupported legs are HANDOFF_BLOCKED.</x:v>
      </x:c>
      <x:c r="O43" s="74" t="str">
        <x:v>DESIGN_APPROVED → WIRING_AUDIT → IMPLEMENTATION_AUTHORIZED → IMPLEMENTED_UNVERIFIED → VERTICAL_SLICE_PASS → SPONSOR_RUNTIME_ACCEPTED</x:v>
      </x:c>
      <x:c r="P43" s="79" t="str">
        <x:v>Shell.tsx → ShellClient.tsx → shell-navigation.ts → astryx.css</x:v>
      </x:c>
      <x:c r="Q43" s="79" t="str">
        <x:v>Factory representatives receive session-only navigation; never expose internal Web/Admin destinations.</x:v>
      </x:c>
      <x:c r="R43" s="79" t="str">
        <x:v>Constrained virtual-session shell. Global controls remain shared; filters, modes, data states and actions remain owned by this screen's vertical slice.</x:v>
      </x:c>
    </x:row>
    <x:row r="44" ht="112" customHeight="1">
      <x:c r="A44" s="68" t="str">
        <x:v>CD-039</x:v>
      </x:c>
      <x:c r="B44" s="68" t="str">
        <x:v>SCR-IPAD-660</x:v>
      </x:c>
      <x:c r="C44" s="68" t="str">
        <x:v>Pre-submit validation and immutable submission</x:v>
      </x:c>
      <x:c r="D44" s="68" t="str">
        <x:v>/field/inspection/:id (submit mode)</x:v>
      </x:c>
      <x:c r="E44" s="68" t="str">
        <x:v>apps/web/src/app/field/inspection/[id]/Workspace.tsx</x:v>
      </x:c>
      <x:c r="F44" s="68" t="str">
        <x:v>Follow imports and runtime composition; enumerate every affected .tsx, .ts, .css, localization and asset path. Never submit only a directory.</x:v>
      </x:c>
      <x:c r="G44" s="68" t="str">
        <x:v>For each exact path: current responsibility, relevant component/export/selector/token, behavior/data hooks, and current visual evidence.</x:v>
      </x:c>
      <x:c r="H44" s="68" t="str">
        <x:v>PRESERVE / UPDATE / CREATE / REMOVE. REMOVE requires explicit human approval.</x:v>
      </x:c>
      <x:c r="I44" s="68" t="str">
        <x:v>For each exact path: future responsibility, mapped design node, exact code target, reason, dependency/RTL/theme impact, tests and rollback.</x:v>
      </x:c>
      <x:c r="J44" s="68" t="str">
        <x:v>Routes; handlers/server actions; Supabase schemas/calls; RLS/RBAC; audit; canonical transitions; offline/conflicts; immutability; localization; test selectors; accessibility.</x:v>
      </x:c>
      <x:c r="K44" s="68" t="str">
        <x:v>IMPLEMENTATION_MANIFEST_CD-039.yaml; COMPONENT_MAP_CD-039.csv; CLAUDE_CODE_HANDOFF_CD-039.md; ACCEPTANCE_CHECKLIST_CD-039.md; primary/outlier PNGs</x:v>
      </x:c>
      <x:c r="L44" s="68" t="str">
        <x:v>Semantic tokens → approved assets → shared components → route composition → localization → tests/evidence.</x:v>
      </x:c>
      <x:c r="M44" s="68" t="str">
        <x:v>UI trigger → client → route/server action → validation/guard → table/RPC/storage/provider → RLS/role → canonical transition → audit/notification → tests/evidence</x:v>
      </x:c>
      <x:c r="N44" s="68" t="str">
        <x:v>Discover against current repository/runtime; unsupported legs are HANDOFF_BLOCKED.</x:v>
      </x:c>
      <x:c r="O44" s="68" t="str">
        <x:v>DESIGN_APPROVED → WIRING_AUDIT → IMPLEMENTATION_AUTHORIZED → IMPLEMENTED_UNVERIFIED → VERTICAL_SLICE_PASS → SPONSOR_RUNTIME_ACCEPTED</x:v>
      </x:c>
      <x:c r="P44" s="73" t="str">
        <x:v>Shell.tsx → ShellClient.tsx → shell-navigation.ts → astryx.css</x:v>
      </x:c>
      <x:c r="Q44" s="73" t="str">
        <x:v>Factory representatives receive session-only navigation; never expose internal Web/Admin destinations.</x:v>
      </x:c>
      <x:c r="R44" s="73" t="str">
        <x:v>Constrained virtual-session shell. Global controls remain shared; filters, modes, data states and actions remain owned by this screen's vertical slice.</x:v>
      </x:c>
    </x:row>
    <x:row r="45" ht="112" customHeight="1">
      <x:c r="A45" s="74" t="str">
        <x:v>CD-040</x:v>
      </x:c>
      <x:c r="B45" s="74" t="str">
        <x:v>SCR-IPAD-670</x:v>
      </x:c>
      <x:c r="C45" s="74" t="str">
        <x:v>Returned correction and resubmission</x:v>
      </x:c>
      <x:c r="D45" s="74" t="str">
        <x:v>/field/inspection/:id (returned mode)</x:v>
      </x:c>
      <x:c r="E45" s="74" t="str">
        <x:v>apps/web/src/app/field/inspection/[id]/Workspace.tsx</x:v>
      </x:c>
      <x:c r="F45" s="74" t="str">
        <x:v>Follow imports and runtime composition; enumerate every affected .tsx, .ts, .css, localization and asset path. Never submit only a directory.</x:v>
      </x:c>
      <x:c r="G45" s="74" t="str">
        <x:v>For each exact path: current responsibility, relevant component/export/selector/token, behavior/data hooks, and current visual evidence.</x:v>
      </x:c>
      <x:c r="H45" s="74" t="str">
        <x:v>PRESERVE / UPDATE / CREATE / REMOVE. REMOVE requires explicit human approval.</x:v>
      </x:c>
      <x:c r="I45" s="74" t="str">
        <x:v>For each exact path: future responsibility, mapped design node, exact code target, reason, dependency/RTL/theme impact, tests and rollback.</x:v>
      </x:c>
      <x:c r="J45" s="74" t="str">
        <x:v>Routes; handlers/server actions; Supabase schemas/calls; RLS/RBAC; audit; canonical transitions; offline/conflicts; immutability; localization; test selectors; accessibility.</x:v>
      </x:c>
      <x:c r="K45" s="74" t="str">
        <x:v>IMPLEMENTATION_MANIFEST_CD-040.yaml; COMPONENT_MAP_CD-040.csv; CLAUDE_CODE_HANDOFF_CD-040.md; ACCEPTANCE_CHECKLIST_CD-040.md; primary/outlier PNGs</x:v>
      </x:c>
      <x:c r="L45" s="74" t="str">
        <x:v>Semantic tokens → approved assets → shared components → route composition → localization → tests/evidence.</x:v>
      </x:c>
      <x:c r="M45" s="74" t="str">
        <x:v>UI trigger → client → route/server action → validation/guard → table/RPC/storage/provider → RLS/role → canonical transition → audit/notification → tests/evidence</x:v>
      </x:c>
      <x:c r="N45" s="74" t="str">
        <x:v>Discover against current repository/runtime; unsupported legs are HANDOFF_BLOCKED.</x:v>
      </x:c>
      <x:c r="O45" s="74" t="str">
        <x:v>DESIGN_APPROVED → WIRING_AUDIT → IMPLEMENTATION_AUTHORIZED → IMPLEMENTED_UNVERIFIED → VERTICAL_SLICE_PASS → SPONSOR_RUNTIME_ACCEPTED</x:v>
      </x:c>
      <x:c r="P45" s="79" t="str">
        <x:v>Shell.tsx → ShellClient.tsx → shell-navigation.ts → astryx.css</x:v>
      </x:c>
      <x:c r="Q45" s="79" t="str">
        <x:v>Factory representatives receive session-only navigation; never expose internal Web/Admin destinations.</x:v>
      </x:c>
      <x:c r="R45" s="79" t="str">
        <x:v>Constrained virtual-session shell. Global controls remain shared; filters, modes, data states and actions remain owned by this screen's vertical slice.</x:v>
      </x:c>
    </x:row>
    <x:row r="46" ht="112" customHeight="1">
      <x:c r="A46" s="68" t="str">
        <x:v>CD-041</x:v>
      </x:c>
      <x:c r="B46" s="68" t="str">
        <x:v>SCR-VIR-700</x:v>
      </x:c>
      <x:c r="C46" s="68" t="str">
        <x:v>Virtual appointment and waiting room</x:v>
      </x:c>
      <x:c r="D46" s="68" t="str">
        <x:v>/virtual/:id</x:v>
      </x:c>
      <x:c r="E46" s="68" t="str">
        <x:v>apps/web/src/app/virtual/[id]/Room.tsx; apps/web/src/app/virtual/[id]/actions.ts; apps/web/src/app/virtual/[id]/page.tsx</x:v>
      </x:c>
      <x:c r="F46" s="68" t="str">
        <x:v>Follow imports and runtime composition; enumerate every affected .tsx, .ts, .css, localization and asset path. Never submit only a directory.</x:v>
      </x:c>
      <x:c r="G46" s="68" t="str">
        <x:v>For each exact path: current responsibility, relevant component/export/selector/token, behavior/data hooks, and current visual evidence.</x:v>
      </x:c>
      <x:c r="H46" s="68" t="str">
        <x:v>PRESERVE / UPDATE / CREATE / REMOVE. REMOVE requires explicit human approval.</x:v>
      </x:c>
      <x:c r="I46" s="68" t="str">
        <x:v>For each exact path: future responsibility, mapped design node, exact code target, reason, dependency/RTL/theme impact, tests and rollback.</x:v>
      </x:c>
      <x:c r="J46" s="68" t="str">
        <x:v>Routes; handlers/server actions; Supabase schemas/calls; RLS/RBAC; audit; canonical transitions; offline/conflicts; immutability; localization; test selectors; accessibility.</x:v>
      </x:c>
      <x:c r="K46" s="68" t="str">
        <x:v>IMPLEMENTATION_MANIFEST_CD-041.yaml; COMPONENT_MAP_CD-041.csv; CLAUDE_CODE_HANDOFF_CD-041.md; ACCEPTANCE_CHECKLIST_CD-041.md; primary/outlier PNGs</x:v>
      </x:c>
      <x:c r="L46" s="68" t="str">
        <x:v>Semantic tokens → approved assets → shared components → route composition → localization → tests/evidence.</x:v>
      </x:c>
      <x:c r="M46" s="68" t="str">
        <x:v>UI trigger → client → route/server action → validation/guard → table/RPC/storage/provider → RLS/role → canonical transition → audit/notification → tests/evidence</x:v>
      </x:c>
      <x:c r="N46" s="68" t="str">
        <x:v>Discover against current repository/runtime; unsupported legs are HANDOFF_BLOCKED.</x:v>
      </x:c>
      <x:c r="O46" s="68" t="str">
        <x:v>DESIGN_APPROVED → WIRING_AUDIT → IMPLEMENTATION_AUTHORIZED → IMPLEMENTED_UNVERIFIED → VERTICAL_SLICE_PASS → SPONSOR_RUNTIME_ACCEPTED</x:v>
      </x:c>
      <x:c r="P46" s="73" t="str">
        <x:v>Shell.tsx → ShellClient.tsx → shell-navigation.ts → astryx.css</x:v>
      </x:c>
      <x:c r="Q46" s="73" t="str">
        <x:v>Factory representatives receive session-only navigation; never expose internal Web/Admin destinations.</x:v>
      </x:c>
      <x:c r="R46" s="73" t="str">
        <x:v>Constrained virtual-session shell. Global controls remain shared; filters, modes, data states and actions remain owned by this screen's vertical slice.</x:v>
      </x:c>
    </x:row>
    <x:row r="47" ht="112" customHeight="1">
      <x:c r="A47" s="74" t="str">
        <x:v>CD-042</x:v>
      </x:c>
      <x:c r="B47" s="74" t="str">
        <x:v>SCR-VIR-710</x:v>
      </x:c>
      <x:c r="C47" s="74" t="str">
        <x:v>Identity and OTP verification</x:v>
      </x:c>
      <x:c r="D47" s="74" t="str">
        <x:v>/virtual/:id (verification mode)</x:v>
      </x:c>
      <x:c r="E47" s="74" t="str">
        <x:v>apps/web/src/app/virtual/[id]/Room.tsx</x:v>
      </x:c>
      <x:c r="F47" s="74" t="str">
        <x:v>Follow imports and runtime composition; enumerate every affected .tsx, .ts, .css, localization and asset path. Never submit only a directory.</x:v>
      </x:c>
      <x:c r="G47" s="74" t="str">
        <x:v>For each exact path: current responsibility, relevant component/export/selector/token, behavior/data hooks, and current visual evidence.</x:v>
      </x:c>
      <x:c r="H47" s="74" t="str">
        <x:v>PRESERVE / UPDATE / CREATE / REMOVE. REMOVE requires explicit human approval.</x:v>
      </x:c>
      <x:c r="I47" s="74" t="str">
        <x:v>For each exact path: future responsibility, mapped design node, exact code target, reason, dependency/RTL/theme impact, tests and rollback.</x:v>
      </x:c>
      <x:c r="J47" s="74" t="str">
        <x:v>Routes; handlers/server actions; Supabase schemas/calls; RLS/RBAC; audit; canonical transitions; offline/conflicts; immutability; localization; test selectors; accessibility.</x:v>
      </x:c>
      <x:c r="K47" s="74" t="str">
        <x:v>IMPLEMENTATION_MANIFEST_CD-042.yaml; COMPONENT_MAP_CD-042.csv; CLAUDE_CODE_HANDOFF_CD-042.md; ACCEPTANCE_CHECKLIST_CD-042.md; primary/outlier PNGs</x:v>
      </x:c>
      <x:c r="L47" s="74" t="str">
        <x:v>Semantic tokens → approved assets → shared components → route composition → localization → tests/evidence.</x:v>
      </x:c>
      <x:c r="M47" s="74" t="str">
        <x:v>UI trigger → client → route/server action → validation/guard → table/RPC/storage/provider → RLS/role → canonical transition → audit/notification → tests/evidence</x:v>
      </x:c>
      <x:c r="N47" s="74" t="str">
        <x:v>Discover against current repository/runtime; unsupported legs are HANDOFF_BLOCKED.</x:v>
      </x:c>
      <x:c r="O47" s="74" t="str">
        <x:v>DESIGN_APPROVED → WIRING_AUDIT → IMPLEMENTATION_AUTHORIZED → IMPLEMENTED_UNVERIFIED → VERTICAL_SLICE_PASS → SPONSOR_RUNTIME_ACCEPTED</x:v>
      </x:c>
      <x:c r="P47" s="79" t="str">
        <x:v>Shell.tsx → ShellClient.tsx → shell-navigation.ts → astryx.css</x:v>
      </x:c>
      <x:c r="Q47" s="79" t="str">
        <x:v>Factory representatives receive session-only navigation; never expose internal Web/Admin destinations.</x:v>
      </x:c>
      <x:c r="R47" s="79" t="str">
        <x:v>Constrained virtual-session shell. Global controls remain shared; filters, modes, data states and actions remain owned by this screen's vertical slice.</x:v>
      </x:c>
    </x:row>
    <x:row r="48" ht="112" customHeight="1">
      <x:c r="A48" s="68" t="str">
        <x:v>CD-043</x:v>
      </x:c>
      <x:c r="B48" s="68" t="str">
        <x:v>SCR-VIR-720</x:v>
      </x:c>
      <x:c r="C48" s="68" t="str">
        <x:v>Virtual inspection session</x:v>
      </x:c>
      <x:c r="D48" s="68" t="str">
        <x:v>/virtual/:id (session mode)</x:v>
      </x:c>
      <x:c r="E48" s="68" t="str">
        <x:v>apps/web/src/app/virtual/[id]/Room.tsx</x:v>
      </x:c>
      <x:c r="F48" s="68" t="str">
        <x:v>Follow imports and runtime composition; enumerate every affected .tsx, .ts, .css, localization and asset path. Never submit only a directory.</x:v>
      </x:c>
      <x:c r="G48" s="68" t="str">
        <x:v>For each exact path: current responsibility, relevant component/export/selector/token, behavior/data hooks, and current visual evidence.</x:v>
      </x:c>
      <x:c r="H48" s="68" t="str">
        <x:v>PRESERVE / UPDATE / CREATE / REMOVE. REMOVE requires explicit human approval.</x:v>
      </x:c>
      <x:c r="I48" s="68" t="str">
        <x:v>For each exact path: future responsibility, mapped design node, exact code target, reason, dependency/RTL/theme impact, tests and rollback.</x:v>
      </x:c>
      <x:c r="J48" s="68" t="str">
        <x:v>Routes; handlers/server actions; Supabase schemas/calls; RLS/RBAC; audit; canonical transitions; offline/conflicts; immutability; localization; test selectors; accessibility.</x:v>
      </x:c>
      <x:c r="K48" s="68" t="str">
        <x:v>IMPLEMENTATION_MANIFEST_CD-043.yaml; COMPONENT_MAP_CD-043.csv; CLAUDE_CODE_HANDOFF_CD-043.md; ACCEPTANCE_CHECKLIST_CD-043.md; primary/outlier PNGs</x:v>
      </x:c>
      <x:c r="L48" s="68" t="str">
        <x:v>Semantic tokens → approved assets → shared components → route composition → localization → tests/evidence.</x:v>
      </x:c>
      <x:c r="M48" s="68" t="str">
        <x:v>UI trigger → client → route/server action → validation/guard → table/RPC/storage/provider → RLS/role → canonical transition → audit/notification → tests/evidence</x:v>
      </x:c>
      <x:c r="N48" s="68" t="str">
        <x:v>Discover against current repository/runtime; unsupported legs are HANDOFF_BLOCKED.</x:v>
      </x:c>
      <x:c r="O48" s="68" t="str">
        <x:v>DESIGN_APPROVED → WIRING_AUDIT → IMPLEMENTATION_AUTHORIZED → IMPLEMENTED_UNVERIFIED → VERTICAL_SLICE_PASS → SPONSOR_RUNTIME_ACCEPTED</x:v>
      </x:c>
      <x:c r="P48" s="73" t="str">
        <x:v>Shell.tsx → ShellClient.tsx → shell-navigation.ts → astryx.css</x:v>
      </x:c>
      <x:c r="Q48" s="73" t="str">
        <x:v>Preserve immutable report provenance; do not invent a new global tab or expose internal navigation to external readers.</x:v>
      </x:c>
      <x:c r="R48" s="73" t="str">
        <x:v>Report / receipt surface. Global controls remain shared; filters, modes, data states and actions remain owned by this screen's vertical slice.</x:v>
      </x:c>
    </x:row>
  </x:sheetData>
  <x:mergeCells>
    <x:mergeCell ref="A1:M2"/>
    <x:mergeCell ref="A3:M3"/>
  </x:mergeCells>
  <x:pageMargins left="0.7" right="0.7" top="0.75" bottom="0.75" header="0.3" footer="0.3"/>
  <x:tableParts count="1">
    <x:tablePart xmlns:r="http://schemas.openxmlformats.org/officeDocument/2006/relationships" r:id="R361bb08baa0e454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6.670000076293945" hidden="0" customWidth="1"/>
    <x:col min="3" max="3" width="24.440000534057617" hidden="0" customWidth="1"/>
    <x:col min="4" max="4" width="26.670000076293945" hidden="0" customWidth="1"/>
    <x:col min="5" max="5" width="25.559999465942383" hidden="0" customWidth="1"/>
    <x:col min="6" max="6" width="30" hidden="0" customWidth="1"/>
    <x:col min="7" max="7" width="27.780000686645508" hidden="0" customWidth="1"/>
    <x:col min="8" max="8" width="28.889999389648438" hidden="0" customWidth="1"/>
    <x:col min="9" max="9" width="32.220001220703125" hidden="0" customWidth="1"/>
    <x:col min="10" max="10" width="24.440000534057617" hidden="0" customWidth="1"/>
  </x:cols>
  <x:sheetData>
    <x:row r="1" ht="25.5" customHeight="1">
      <x:c r="A1" s="55" t="str">
        <x:v>V3 Design Rubric — Ambition, Research, Shell Coherence and Build Truth</x:v>
      </x:c>
      <x:c r="B1" s="55"/>
      <x:c r="C1" s="55"/>
      <x:c r="D1" s="55"/>
      <x:c r="E1" s="55"/>
      <x:c r="F1" s="55"/>
      <x:c r="G1" s="55"/>
      <x:c r="H1" s="55"/>
      <x:c r="I1" s="55"/>
      <x:c r="J1" s="55"/>
    </x:row>
    <x:row r="2">
      <x:c r="A2" s="3"/>
      <x:c r="B2" s="3"/>
      <x:c r="C2" s="3"/>
      <x:c r="D2" s="3"/>
      <x:c r="E2" s="3"/>
      <x:c r="F2" s="3"/>
      <x:c r="G2" s="3"/>
    </x:row>
    <x:row r="5" ht="33" customHeight="1">
      <x:c r="A5" s="36" t="str">
        <x:v>Grade</x:v>
      </x:c>
      <x:c r="B5" s="36" t="str">
        <x:v>Name</x:v>
      </x:c>
      <x:c r="C5" s="36" t="str">
        <x:v>Contract truth</x:v>
      </x:c>
      <x:c r="D5" s="36" t="str">
        <x:v>Inspection-domain credibility</x:v>
      </x:c>
      <x:c r="E5" s="36" t="str">
        <x:v>Research quality</x:v>
      </x:c>
      <x:c r="F5" s="36" t="str">
        <x:v>Composition ambition</x:v>
      </x:c>
      <x:c r="G5" s="36" t="str">
        <x:v>Signature interaction</x:v>
      </x:c>
      <x:c r="H5" s="36" t="str">
        <x:v>Arabic / accessibility</x:v>
      </x:c>
      <x:c r="I5" s="36" t="str">
        <x:v>Implementation fit</x:v>
      </x:c>
      <x:c r="J5" s="36" t="str">
        <x:v>Decision</x:v>
      </x:c>
    </x:row>
    <x:row r="6" ht="90" customHeight="1">
      <x:c r="A6" s="44" t="n">
        <x:v>5</x:v>
      </x:c>
      <x:c r="B6" s="44" t="str">
        <x:v>Signature / review-ready</x:v>
      </x:c>
      <x:c r="C6" s="44" t="str">
        <x:v>All requirements, critical states and truth labels traced.</x:v>
      </x:c>
      <x:c r="D6" s="44" t="str">
        <x:v>The object model, provenance, version, state, scope and consequence are inspection-plausible.</x:v>
      </x:c>
      <x:c r="E6" s="44" t="str">
        <x:v>3+ primary sources; adoption and rejection recorded; no visual copying.</x:v>
      </x:c>
      <x:c r="F6" s="44" t="str">
        <x:v>Three meaningfully different task models compared; chosen model proves the 30-second decision and passes the no-brand genericity test.</x:v>
      </x:c>
      <x:c r="G6" s="44" t="str">
        <x:v>One interaction measurably reduces cognitive work, reveals causality or prevents irreversible error.</x:v>
      </x:c>
      <x:c r="H6" s="44" t="str">
        <x:v>Arabic-first RTL, mixed-direction data, keyboard/focus/screen reader, dark/light, reflow and reduced motion evidenced.</x:v>
      </x:c>
      <x:c r="I6" s="44" t="str">
        <x:v>Exact files and WIRING_MAP; every backend leg exists or is HANDOFF_BLOCKED; no invented success.</x:v>
      </x:c>
      <x:c r="J6" s="44" t="str">
        <x:v>Advance to sponsor design review only—not implementation completion.</x:v>
      </x:c>
    </x:row>
    <x:row r="7" ht="90" customHeight="1">
      <x:c r="A7" s="53" t="n">
        <x:v>4</x:v>
      </x:c>
      <x:c r="B7" s="53" t="str">
        <x:v>Premium / strong</x:v>
      </x:c>
      <x:c r="C7" s="53" t="str">
        <x:v>Core and negative paths complete; small evidence items tracked.</x:v>
      </x:c>
      <x:c r="D7" s="53" t="str">
        <x:v>Credible objects and consequences with named hard cases.</x:v>
      </x:c>
      <x:c r="E7" s="53" t="str">
        <x:v>Primary research supports the selected pattern but comparison is incomplete.</x:v>
      </x:c>
      <x:c r="F7" s="53" t="str">
        <x:v>Distinctive hierarchy and task model; one composition alternative needs stronger rejection logic.</x:v>
      </x:c>
      <x:c r="G7" s="53" t="str">
        <x:v>Useful signature behavior with a minor state or recovery gap.</x:v>
      </x:c>
      <x:c r="H7" s="53" t="str">
        <x:v>Major AR/RTL/a11y/theme/responsive states evidenced; small verification gap remains.</x:v>
      </x:c>
      <x:c r="I7" s="53" t="str">
        <x:v>File map is exact; one non-critical wiring leg needs proof.</x:v>
      </x:c>
      <x:c r="J7" s="53" t="str">
        <x:v>Accept with named P0/P1 condition and wiring block.</x:v>
      </x:c>
    </x:row>
    <x:row r="8" ht="90" customHeight="1">
      <x:c r="A8" s="44" t="n">
        <x:v>3</x:v>
      </x:c>
      <x:c r="B8" s="44" t="str">
        <x:v>Competent / insufficient</x:v>
      </x:c>
      <x:c r="C8" s="44" t="str">
        <x:v>Primary path covered; negative/partial states incomplete.</x:v>
      </x:c>
      <x:c r="D8" s="44" t="str">
        <x:v>Usable but weakly contextual or consequence-poor.</x:v>
      </x:c>
      <x:c r="E8" s="44" t="str">
        <x:v>References are secondary, generic or not tied to decisions.</x:v>
      </x:c>
      <x:c r="F8" s="44" t="str">
        <x:v>Polished standard pattern; variants are cosmetic; genericity test fails.</x:v>
      </x:c>
      <x:c r="G8" s="44" t="str">
        <x:v>Signature is a label or decoration, not a task improvement.</x:v>
      </x:c>
      <x:c r="H8" s="44" t="str">
        <x:v>Arabic is mirrored late; focus/reflow/status behavior remains unclear.</x:v>
      </x:c>
      <x:c r="I8" s="44" t="str">
        <x:v>Handoff maps UI files but not server/data/RLS/audit/tests.</x:v>
      </x:c>
      <x:c r="J8" s="44" t="str">
        <x:v>Return for focused revision before sponsor review.</x:v>
      </x:c>
    </x:row>
    <x:row r="9" ht="90" customHeight="1">
      <x:c r="A9" s="53" t="n">
        <x:v>2</x:v>
      </x:c>
      <x:c r="B9" s="53" t="str">
        <x:v>Wireframe quality</x:v>
      </x:c>
      <x:c r="C9" s="53" t="str">
        <x:v>Objects present; state and acceptance coverage weak.</x:v>
      </x:c>
      <x:c r="D9" s="53" t="str">
        <x:v>Could belong to any workflow product.</x:v>
      </x:c>
      <x:c r="E9" s="53" t="str">
        <x:v>Pattern name-dropping or copied visual language.</x:v>
      </x:c>
      <x:c r="F9" s="53" t="str">
        <x:v>Cards/tables/dashboard assembled without a task model.</x:v>
      </x:c>
      <x:c r="G9" s="53" t="str">
        <x:v>Novelty distracts or adds steps.</x:v>
      </x:c>
      <x:c r="H9" s="53" t="str">
        <x:v>Inconsistent, inaccessible or English-first.</x:v>
      </x:c>
      <x:c r="I9" s="53" t="str">
        <x:v>Invented handlers/data or UI-only completion language.</x:v>
      </x:c>
      <x:c r="J9" s="53" t="str">
        <x:v>Reject before stakeholder review.</x:v>
      </x:c>
    </x:row>
    <x:row r="10" ht="90" customHeight="1">
      <x:c r="A10" s="44" t="n">
        <x:v>1</x:v>
      </x:c>
      <x:c r="B10" s="44" t="str">
        <x:v>Unsafe / noncompliant</x:v>
      </x:c>
      <x:c r="C10" s="44" t="str">
        <x:v>Requirements, permissions, immutability or truth missing.</x:v>
      </x:c>
      <x:c r="D10" s="44" t="str">
        <x:v>Misrepresents inspection, workflow, evidence or provider behavior.</x:v>
      </x:c>
      <x:c r="E10" s="44" t="str">
        <x:v>No defensible research or copied product design.</x:v>
      </x:c>
      <x:c r="F10" s="44" t="str">
        <x:v>Incoherent composition blocks the decision.</x:v>
      </x:c>
      <x:c r="G10" s="44" t="str">
        <x:v>Interaction creates error or hides consequence.</x:v>
      </x:c>
      <x:c r="H10" s="44" t="str">
        <x:v>Unusable or security/accessibility failure.</x:v>
      </x:c>
      <x:c r="I10" s="44" t="str">
        <x:v>Weakens RLS/guards/audit, exposes raw errors or claims non-existent side effects.</x:v>
      </x:c>
      <x:c r="J10" s="44" t="str">
        <x:v>Stop and restart from authority.</x:v>
      </x:c>
    </x:row>
    <x:row r="12">
      <x:c r="A12" s="59" t="str">
        <x:v>Grade 5 is evidence, not polish</x:v>
      </x:c>
      <x:c r="B12" s="59"/>
      <x:c r="C12" s="59"/>
      <x:c r="D12" s="59"/>
      <x:c r="E12" s="59"/>
      <x:c r="F12" s="59"/>
      <x:c r="G12" s="59"/>
      <x:c r="H12" s="59"/>
      <x:c r="I12" s="59"/>
      <x:c r="J12" s="59"/>
    </x:row>
    <x:row r="13">
      <x:c r="A13" s="62" t="str">
        <x:v>Grade 5 requires evidence, not polish. A visually elegant screen fails if it is generic, research is decorative, Arabic is mirrored late, or backend gaps are disguised as implementation. V3 adds shell coherence: authenticated Web/Admin designs must reuse the approved role-scoped shell; field/virtual/access boundaries must remain distinct; unsupported tabs must stay absent. Ambition belongs in the inspection decision and signature interaction, not a one-off global navigation system. DESIGN_APPROVED is followed by WIRING_AUDIT; only VERTICAL_SLICE_PASS can support a built claim. TASK-WEB-SHELL-001 is sponsor-accepted and frozen; a screen cannot score 5/5 if it redesigns that chrome or changes a governed tab disposition.</x:v>
      </x:c>
      <x:c r="B13" s="62"/>
      <x:c r="C13" s="62"/>
      <x:c r="D13" s="62"/>
      <x:c r="E13" s="62"/>
      <x:c r="F13" s="62"/>
      <x:c r="G13" s="62"/>
      <x:c r="H13" s="62"/>
      <x:c r="I13" s="62"/>
      <x:c r="J13" s="62"/>
    </x:row>
    <x:row r="14">
      <x:c r="A14" s="62"/>
      <x:c r="B14" s="62"/>
      <x:c r="C14" s="62"/>
      <x:c r="D14" s="62"/>
      <x:c r="E14" s="62"/>
      <x:c r="F14" s="62"/>
      <x:c r="G14" s="62"/>
      <x:c r="H14" s="62"/>
      <x:c r="I14" s="62"/>
      <x:c r="J14" s="62"/>
    </x:row>
    <x:row r="15">
      <x:c r="A15"/>
      <x:c r="B15"/>
      <x:c r="C15"/>
      <x:c r="D15"/>
      <x:c r="E15"/>
      <x:c r="F15"/>
      <x:c r="G15"/>
    </x:row>
    <x:row r="16">
      <x:c r="A16"/>
      <x:c r="B16"/>
      <x:c r="C16"/>
      <x:c r="D16"/>
      <x:c r="E16"/>
      <x:c r="F16"/>
      <x:c r="G16"/>
    </x:row>
  </x:sheetData>
  <x:mergeCells>
    <x:mergeCell ref="A1:G2"/>
    <x:mergeCell ref="A12:G12"/>
    <x:mergeCell ref="A13:G16"/>
    <x:mergeCell ref="A12:J12"/>
    <x:mergeCell ref="A13:J14"/>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9.4399995803833" hidden="0" customWidth="1"/>
    <x:col min="3" max="3" width="20" hidden="0" customWidth="1"/>
    <x:col min="4" max="4" width="24.440000534057617" hidden="0" customWidth="1"/>
    <x:col min="5" max="5" width="27.780000686645508" hidden="0" customWidth="1"/>
    <x:col min="6" max="6" width="14.4399995803833" hidden="0" customWidth="1"/>
    <x:col min="7" max="7" width="40" hidden="0" customWidth="1"/>
    <x:col min="8" max="8" width="42.220001220703125" hidden="0" customWidth="1"/>
    <x:col min="9" max="9" width="42.220001220703125" hidden="0" customWidth="1"/>
    <x:col min="10" max="10" width="18.889999389648438" hidden="0" customWidth="1"/>
    <x:col min="11" max="11" width="27.780000686645508" hidden="0" customWidth="1"/>
    <x:col min="12" max="12" width="32.220001220703125" hidden="0" customWidth="1"/>
    <x:col min="13" max="13" width="21.110000610351562" hidden="0" customWidth="1"/>
    <x:col min="14" max="14" width="43.33000183105469" hidden="0" customWidth="1"/>
  </x:cols>
  <x:sheetData>
    <x:row r="1" ht="25.5" customHeight="1">
      <x:c r="A1" s="55" t="str">
        <x:v>CD-020–031 · Immediate Web Design and Vertical-Slice Wave</x:v>
      </x:c>
      <x:c r="B1" s="55"/>
      <x:c r="C1" s="55"/>
      <x:c r="D1" s="55"/>
      <x:c r="E1" s="55"/>
      <x:c r="F1" s="55"/>
      <x:c r="G1" s="55"/>
      <x:c r="H1" s="55"/>
      <x:c r="I1" s="55"/>
      <x:c r="J1" s="55"/>
      <x:c r="K1" s="55"/>
      <x:c r="L1" s="55"/>
    </x:row>
    <x:row r="3">
      <x:c r="A3" t="str">
        <x:v>Design must exceed standard enterprise UI while remaining truthful to the current runtime. Every row ends in a wiring audit; unsupported behavior is a block, not a visual assumption.</x:v>
      </x:c>
    </x:row>
    <x:row r="5" ht="34.5" customHeight="1">
      <x:c r="A5" s="67" t="str">
        <x:v>Seq</x:v>
      </x:c>
      <x:c r="B5" s="67" t="str">
        <x:v>Prompt</x:v>
      </x:c>
      <x:c r="C5" s="67" t="str">
        <x:v>Screen</x:v>
      </x:c>
      <x:c r="D5" s="67" t="str">
        <x:v>Journey / requirements</x:v>
      </x:c>
      <x:c r="E5" s="67" t="str">
        <x:v>Signature decision</x:v>
      </x:c>
      <x:c r="F5" s="67" t="str">
        <x:v>Research</x:v>
      </x:c>
      <x:c r="G5" s="67" t="str">
        <x:v>Required composition challenge</x:v>
      </x:c>
      <x:c r="H5" s="67" t="str">
        <x:v>Current runtime truth / gap</x:v>
      </x:c>
      <x:c r="I5" s="67" t="str">
        <x:v>Vertical slice chain</x:v>
      </x:c>
      <x:c r="J5" s="67" t="str">
        <x:v>Acceptance</x:v>
      </x:c>
      <x:c r="K5" s="67" t="str">
        <x:v>Design gate</x:v>
      </x:c>
      <x:c r="L5" s="67" t="str">
        <x:v>Implementation gate</x:v>
      </x:c>
      <x:c r="M5" s="67" t="str">
        <x:v>Approved shell tab</x:v>
      </x:c>
      <x:c r="N5" s="67" t="str">
        <x:v>Sponsor-accepted frozen shell integration rule</x:v>
      </x:c>
    </x:row>
    <x:row r="6" ht="116.25" customHeight="1">
      <x:c r="A6" s="68" t="n">
        <x:v>4</x:v>
      </x:c>
      <x:c r="B6" s="68" t="str">
        <x:v>CD-020</x:v>
      </x:c>
      <x:c r="C6" s="68" t="str">
        <x:v>Visit planning home</x:v>
      </x:c>
      <x:c r="D6" s="68" t="str">
        <x:v>P01 · M01-001..050</x:v>
      </x:c>
      <x:c r="E6" s="68" t="str">
        <x:v>Each method previews when to use it, what it produces and the non-negotiable guard that applies.</x:v>
      </x:c>
      <x:c r="F6" s="68" t="str">
        <x:v>R16, R18, R19, R24</x:v>
      </x:c>
      <x:c r="G6" s="68" t="str">
        <x:v>Compare method-decision spine, readiness-led and resume-led compositions. Make blocked methods and role-safe escalation visible; remove branding and prove it still reads as inspection planning, not a portal home.</x:v>
      </x:c>
      <x:c r="H6" s="68" t="str">
        <x:v>Read-side exists: published package_versions and draft visit_plans. Verify RLS and remove/guard any Admin link unavailable to the planner role.</x:v>
      </x:c>
      <x:c r="I6" s="68" t="str">
        <x:v>route render → role/RLS-safe reads → method guard truth → empty/error/degraded states → AR/RTL/theme/responsive/a11y evidence</x:v>
      </x:c>
      <x:c r="J6" s="68" t="str">
        <x:v>DSG-015; DSG-A11Y-001</x:v>
      </x:c>
      <x:c r="K6" s="68" t="str">
        <x:v>3 composition hypotheses + research ledger + full state set + sponsor approval</x:v>
      </x:c>
      <x:c r="L6" s="68" t="str">
        <x:v>Codex wiring audit; explicit authorization; real runtime evidence; VERTICAL_SLICE_PASS</x:v>
      </x:c>
      <x:c r="M6" s="73" t="str">
        <x:v>Planning</x:v>
      </x:c>
      <x:c r="N6" s="73" t="str">
        <x:v>Planning · reuse TASK-WEB-SHELL-001 exactly; design page content and page-specific filters only.</x:v>
      </x:c>
    </x:row>
    <x:row r="7" ht="116.25" customHeight="1">
      <x:c r="A7" s="74" t="n">
        <x:v>5</x:v>
      </x:c>
      <x:c r="B7" s="74" t="str">
        <x:v>CD-021</x:v>
      </x:c>
      <x:c r="C7" s="74" t="str">
        <x:v>Bulk planning criteria and targeting</x:v>
      </x:c>
      <x:c r="D7" s="74" t="str">
        <x:v>P01 · M01-001..050</x:v>
      </x:c>
      <x:c r="E7" s="74" t="str">
        <x:v>The ‘targeting lens’ synchronizes logic tree, KSA map and explainable result distribution.</x:v>
      </x:c>
      <x:c r="F7" s="74" t="str">
        <x:v>R18, R20, R21, R22</x:v>
      </x:c>
      <x:c r="G7" s="74" t="str">
        <x:v>Compare criteria-first, map-linked and result-first targeting compositions. Coordinate criteria, denominator, map and result selection; expose freshness and exclusions; never let the system appear to make an AI targeting decision.</x:v>
      </x:c>
      <x:c r="H7" s="74" t="str">
        <x:v>publishBulkPlan performs multiple inserts/updates/notifications and returns raw error messages. It is not proven transactional; audit RLS, guards, partial failure and neutral errors.</x:v>
      </x:c>
      <x:c r="I7" s="74" t="str">
        <x:v>criteria UI → validation → publishBulkPlan → factories/package/user roles → visits + assignments + plan → audit + notifications → per-failure rollback/reconciliation tests</x:v>
      </x:c>
      <x:c r="J7" s="74" t="str">
        <x:v>DSG-016; DSG-A11Y-001</x:v>
      </x:c>
      <x:c r="K7" s="74" t="str">
        <x:v>3 composition hypotheses + research ledger + full state set + sponsor approval</x:v>
      </x:c>
      <x:c r="L7" s="74" t="str">
        <x:v>Codex wiring audit; explicit authorization; real runtime evidence; VERTICAL_SLICE_PASS</x:v>
      </x:c>
      <x:c r="M7" s="79" t="str">
        <x:v>Planning</x:v>
      </x:c>
      <x:c r="N7" s="79" t="str">
        <x:v>Planning · reuse TASK-WEB-SHELL-001 exactly; design page content and page-specific filters only.</x:v>
      </x:c>
    </x:row>
    <x:row r="8" ht="116.25" customHeight="1">
      <x:c r="A8" s="68" t="n">
        <x:v>6</x:v>
      </x:c>
      <x:c r="B8" s="68" t="str">
        <x:v>CD-022</x:v>
      </x:c>
      <x:c r="C8" s="68" t="str">
        <x:v>Single visit planning</x:v>
      </x:c>
      <x:c r="D8" s="68" t="str">
        <x:v>P01 · M01-001..050</x:v>
      </x:c>
      <x:c r="E8" s="68" t="str">
        <x:v>Identity-confidence card compares CR/license, official location, activity and recent inspection context before selection.</x:v>
      </x:c>
      <x:c r="F8" s="68" t="str">
        <x:v>R16, R19, R21, R24</x:v>
      </x:c>
      <x:c r="G8" s="68" t="str">
        <x:v>Build a search-to-confidence flow that distinguishes exact, ambiguous and degraded matches. Show factory provenance and selection consequences before configuration; do not collapse the journey into a generic wizard.</x:v>
      </x:c>
      <x:c r="H8" s="68" t="str">
        <x:v>publishSingleVisit performs multiple writes and notifications without proven transactionality. Verify canonical state changes, partial failure, RLS and audit continuity.</x:v>
      </x:c>
      <x:c r="I8" s="68" t="str">
        <x:v>factory selection → validation → publishSingleVisit → visit + assignment + plan → canonical publish/audit/notification → conflict and partial-failure tests</x:v>
      </x:c>
      <x:c r="J8" s="68" t="str">
        <x:v>DSG-017; DSG-A11Y-001</x:v>
      </x:c>
      <x:c r="K8" s="68" t="str">
        <x:v>3 composition hypotheses + research ledger + full state set + sponsor approval</x:v>
      </x:c>
      <x:c r="L8" s="68" t="str">
        <x:v>Codex wiring audit; explicit authorization; real runtime evidence; VERTICAL_SLICE_PASS</x:v>
      </x:c>
      <x:c r="M8" s="73" t="str">
        <x:v>Planning</x:v>
      </x:c>
      <x:c r="N8" s="73" t="str">
        <x:v>Planning · reuse TASK-WEB-SHELL-001 exactly; design page content and page-specific filters only.</x:v>
      </x:c>
    </x:row>
    <x:row r="9" ht="116.25" customHeight="1">
      <x:c r="A9" s="74" t="n">
        <x:v>7</x:v>
      </x:c>
      <x:c r="B9" s="74" t="str">
        <x:v>CD-023</x:v>
      </x:c>
      <x:c r="C9" s="74" t="str">
        <x:v>Immediate visit planning</x:v>
      </x:c>
      <x:c r="D9" s="74" t="str">
        <x:v>P01 · M01-001..050</x:v>
      </x:c>
      <x:c r="E9" s="74" t="str">
        <x:v>‘Minimum viable authority’ bar shows exactly which protections remain mandatory under urgency.</x:v>
      </x:c>
      <x:c r="F9" s="74" t="str">
        <x:v>R16, R21, R24, R25</x:v>
      </x:c>
      <x:c r="G9" s="74" t="str">
        <x:v>Create urgency without weakening authority, evidence or validation. Compare compact authority-bar, consequence-first and context-first variants; avoid red-alert theatre and never imply unverified location truth.</x:v>
      </x:c>
      <x:c r="H9" s="74" t="str">
        <x:v>createImmediateVisit can create a temporary factory with hard-coded Riyadh and does not reliably prove assignment insert success before continuing. Region and partial failure need correction or an explicit block.</x:v>
      </x:c>
      <x:c r="I9" s="74" t="str">
        <x:v>urgent request → authority/identity validation → temporary/known factory decision → assignment + visit → audit/notification → location and partial-failure proof</x:v>
      </x:c>
      <x:c r="J9" s="74" t="str">
        <x:v>DSG-018; DSG-A11Y-001</x:v>
      </x:c>
      <x:c r="K9" s="74" t="str">
        <x:v>3 composition hypotheses + research ledger + full state set + sponsor approval</x:v>
      </x:c>
      <x:c r="L9" s="74" t="str">
        <x:v>Codex wiring audit; explicit authorization; real runtime evidence; VERTICAL_SLICE_PASS</x:v>
      </x:c>
      <x:c r="M9" s="79" t="str">
        <x:v>Planning</x:v>
      </x:c>
      <x:c r="N9" s="79" t="str">
        <x:v>Planning · reuse TASK-WEB-SHELL-001 exactly; design page content and page-specific filters only.</x:v>
      </x:c>
    </x:row>
    <x:row r="10" ht="116.25" customHeight="1">
      <x:c r="A10" s="68" t="n">
        <x:v>8</x:v>
      </x:c>
      <x:c r="B10" s="68" t="str">
        <x:v>CD-024</x:v>
      </x:c>
      <x:c r="C10" s="68" t="str">
        <x:v>Visit configuration and assignment</x:v>
      </x:c>
      <x:c r="D10" s="68" t="str">
        <x:v>P02 · M01-001..050</x:v>
      </x:c>
      <x:c r="E10" s="68" t="str">
        <x:v>Assignment confidence panel explains why each candidate is eligible and what tradeoff the planner is accepting.</x:v>
      </x:c>
      <x:c r="F10" s="68" t="str">
        <x:v>R18, R19, R20, R22</x:v>
      </x:c>
      <x:c r="G10" s="68" t="str">
        <x:v>Express assignment as a constraint and eligibility decision, not a staff dropdown. Compare constraint-matrix, inspector-first and visit-first compositions. Current route is read-only: the handoff must remain blocked until real actions and guards are mapped.</x:v>
      </x:c>
      <x:c r="H10" s="68" t="str">
        <x:v>The mapped /planning/plans/:id page is a read-only plan drill-down. No configuration or assignment action is currently mapped. HANDOFF_BLOCKED until exact handlers, tables and guards exist.</x:v>
      </x:c>
      <x:c r="I10" s="68" t="str">
        <x:v>configuration UI → real server action (currently missing) → eligibility/guard evaluation → assignments/visit plan → audit → authorization/conflict tests</x:v>
      </x:c>
      <x:c r="J10" s="68" t="str">
        <x:v>DSG-019; DSG-A11Y-001</x:v>
      </x:c>
      <x:c r="K10" s="68" t="str">
        <x:v>3 composition hypotheses + research ledger + full state set + sponsor approval</x:v>
      </x:c>
      <x:c r="L10" s="68" t="str">
        <x:v>Codex wiring audit; explicit authorization; real runtime evidence; VERTICAL_SLICE_PASS</x:v>
      </x:c>
      <x:c r="M10" s="73" t="str">
        <x:v>Planning</x:v>
      </x:c>
      <x:c r="N10" s="73" t="str">
        <x:v>Planning · reuse TASK-WEB-SHELL-001 exactly; design page content and page-specific filters only.</x:v>
      </x:c>
    </x:row>
    <x:row r="11" ht="116.25" customHeight="1">
      <x:c r="A11" s="74" t="n">
        <x:v>9</x:v>
      </x:c>
      <x:c r="B11" s="74" t="str">
        <x:v>CD-025</x:v>
      </x:c>
      <x:c r="C11" s="74" t="str">
        <x:v>Plan review and publish</x:v>
      </x:c>
      <x:c r="D11" s="74" t="str">
        <x:v>P03 · M01-001..050</x:v>
      </x:c>
      <x:c r="E11" s="74" t="str">
        <x:v>Atomic-publish preview shows exactly what records, assignments, notifications and locked versions will be created.</x:v>
      </x:c>
      <x:c r="F11" s="74" t="str">
        <x:v>R18, R19, R24, R25</x:v>
      </x:c>
      <x:c r="G11" s="74" t="str">
        <x:v>Replace the phrase ‘atomic-publish preview’ with a truthful publish consequence ledger unless a transaction/RPC proves atomicity. Use blocker links, change paths and irreversible-action confirmation; current route has no mapped publish action.</x:v>
      </x:c>
      <x:c r="H11" s="74" t="str">
        <x:v>The same plan-detail route has no mapped publish action. Do not claim atomic publish. HANDOFF_BLOCKED until an approved transition/transaction and rollback behavior are evidenced.</x:v>
      </x:c>
      <x:c r="I11" s="74" t="str">
        <x:v>review UI → blocker validation → canonical publish transaction/RPC (currently missing) → version/status/audit/notifications → rollback and double-submit tests</x:v>
      </x:c>
      <x:c r="J11" s="74" t="str">
        <x:v>DSG-020; DSG-A11Y-001</x:v>
      </x:c>
      <x:c r="K11" s="74" t="str">
        <x:v>3 composition hypotheses + research ledger + full state set + sponsor approval</x:v>
      </x:c>
      <x:c r="L11" s="74" t="str">
        <x:v>Codex wiring audit; explicit authorization; real runtime evidence; VERTICAL_SLICE_PASS</x:v>
      </x:c>
      <x:c r="M11" s="79" t="str">
        <x:v>Planning</x:v>
      </x:c>
      <x:c r="N11" s="79" t="str">
        <x:v>Planning · reuse TASK-WEB-SHELL-001 exactly; design page content and page-specific filters only.</x:v>
      </x:c>
    </x:row>
    <x:row r="12" ht="116.25" customHeight="1">
      <x:c r="A12" s="68" t="n">
        <x:v>10</x:v>
      </x:c>
      <x:c r="B12" s="68" t="str">
        <x:v>CD-026</x:v>
      </x:c>
      <x:c r="C12" s="68" t="str">
        <x:v>Visit management workspace</x:v>
      </x:c>
      <x:c r="D12" s="68" t="str">
        <x:v>P03 · M02-001..046</x:v>
      </x:c>
      <x:c r="E12" s="68" t="str">
        <x:v>List–calendar–workload–map continuity: selecting a visit highlights the same object and exposes the same allowed actions everywhere.</x:v>
      </x:c>
      <x:c r="F12" s="68" t="str">
        <x:v>R18, R20, R21, R22</x:v>
      </x:c>
      <x:c r="G12" s="68" t="str">
        <x:v>Prove one selected visit remains the same object across list, calendar, workload and map. Compare coordinated-lens, queue-first and schedule-first compositions; handle partial bulk outcomes and never invent a wired map.</x:v>
      </x:c>
      <x:c r="H12" s="68" t="str">
        <x:v>List, calendar and workload routes exist; the operational map is not proven wired. Bulk actions can partially succeed. Preserve filters/object identity and report per-item outcomes truthfully.</x:v>
      </x:c>
      <x:c r="I12" s="68" t="str">
        <x:v>workspace query → coordinated filters/selection → bulk server action → visits/assignments/RPC expiry → audit/notifications → per-item and stale-selection tests</x:v>
      </x:c>
      <x:c r="J12" s="68" t="str">
        <x:v>DSG-021; DSG-A11Y-001</x:v>
      </x:c>
      <x:c r="K12" s="68" t="str">
        <x:v>3 composition hypotheses + research ledger + full state set + sponsor approval</x:v>
      </x:c>
      <x:c r="L12" s="68" t="str">
        <x:v>Codex wiring audit; explicit authorization; real runtime evidence; VERTICAL_SLICE_PASS</x:v>
      </x:c>
      <x:c r="M12" s="73" t="str">
        <x:v>Visit Management</x:v>
      </x:c>
      <x:c r="N12" s="73" t="str">
        <x:v>Visit Management · reuse TASK-WEB-SHELL-001 exactly; design page content and page-specific filters only.</x:v>
      </x:c>
    </x:row>
    <x:row r="13" ht="116.25" customHeight="1">
      <x:c r="A13" s="74" t="n">
        <x:v>11</x:v>
      </x:c>
      <x:c r="B13" s="74" t="str">
        <x:v>CD-027</x:v>
      </x:c>
      <x:c r="C13" s="74" t="str">
        <x:v>Visit detail</x:v>
      </x:c>
      <x:c r="D13" s="74" t="str">
        <x:v>P03 · M02-001..046</x:v>
      </x:c>
      <x:c r="E13" s="74" t="str">
        <x:v>Dual-state ribbon separates planning status, operational state, journey, inspection and review without collapsing them into one chip.</x:v>
      </x:c>
      <x:c r="F13" s="74" t="str">
        <x:v>R18, R19, R24, R25</x:v>
      </x:c>
      <x:c r="G13" s="74" t="str">
        <x:v>Make lifecycle state, assignment state, immutable history and allowed actions legible in one state ribbon. Design for partial side-effect failure and safe recovery; raw provider errors and direct status mutation may not leak into the experience.</x:v>
      </x:c>
      <x:c r="H13" s="74" t="str">
        <x:v>Visit actions span state, assignment, notes, attachments, storage and notifications. Raw errors and multi-write partial failures exist; verify canonical transitions, immutable history and audit events.</x:v>
      </x:c>
      <x:c r="I13" s="74" t="str">
        <x:v>detail query → allowed action guard → visit/assignment/storage updates → audit + notification → partial-side-effect, unauthorized and stale-state tests</x:v>
      </x:c>
      <x:c r="J13" s="74" t="str">
        <x:v>DSG-022; DSG-A11Y-001</x:v>
      </x:c>
      <x:c r="K13" s="74" t="str">
        <x:v>3 composition hypotheses + research ledger + full state set + sponsor approval</x:v>
      </x:c>
      <x:c r="L13" s="74" t="str">
        <x:v>Codex wiring audit; explicit authorization; real runtime evidence; VERTICAL_SLICE_PASS</x:v>
      </x:c>
      <x:c r="M13" s="79" t="str">
        <x:v>Visit Management</x:v>
      </x:c>
      <x:c r="N13" s="79" t="str">
        <x:v>Visit Management · reuse TASK-WEB-SHELL-001 exactly; design page content and page-specific filters only.</x:v>
      </x:c>
    </x:row>
    <x:row r="14" ht="116.25" customHeight="1">
      <x:c r="A14" s="68" t="n">
        <x:v>12</x:v>
      </x:c>
      <x:c r="B14" s="68" t="str">
        <x:v>CD-028</x:v>
      </x:c>
      <x:c r="C14" s="68" t="str">
        <x:v>Level 2 review queue</x:v>
      </x:c>
      <x:c r="D14" s="68" t="str">
        <x:v>P10 · M06-001..039,049,051,052</x:v>
      </x:c>
      <x:c r="E14" s="68" t="str">
        <x:v>Evidence-readiness and SLA-risk fingerprint sits beside each immutable submission version.</x:v>
      </x:c>
      <x:c r="F14" s="68" t="str">
        <x:v>R17, R18, R19, R22</x:v>
      </x:c>
      <x:c r="G14" s="68" t="str">
        <x:v>Create an evidence/SLA prioritisation fingerprint that supports keyboard throughput and preserves the selected inspection. Do not draw a ticket queue. Claim/reassign controls are blocked unless a real action and authorization path are found.</x:v>
      </x:c>
      <x:c r="H14" s="68" t="str">
        <x:v>Queue reads exist, but dedicated claim/reassign actions are not currently mapped. Opening the workspace participates in review state creation. Do not invent queue controls.</x:v>
      </x:c>
      <x:c r="I14" s="68" t="str">
        <x:v>queue query → RLS/SLA derivation → real claim/reassign action (currently missing) → review ownership/audit → keyboard and concurrency tests</x:v>
      </x:c>
      <x:c r="J14" s="68" t="str">
        <x:v>DSG-023; DSG-A11Y-001</x:v>
      </x:c>
      <x:c r="K14" s="68" t="str">
        <x:v>3 composition hypotheses + research ledger + full state set + sponsor approval</x:v>
      </x:c>
      <x:c r="L14" s="68" t="str">
        <x:v>Codex wiring audit; explicit authorization; real runtime evidence; VERTICAL_SLICE_PASS</x:v>
      </x:c>
      <x:c r="M14" s="73" t="str">
        <x:v>Review &amp; Approval</x:v>
      </x:c>
      <x:c r="N14" s="73" t="str">
        <x:v>Review &amp; Approval · reuse TASK-WEB-SHELL-001 exactly; design page content and page-specific filters only.</x:v>
      </x:c>
    </x:row>
    <x:row r="15" ht="116.25" customHeight="1">
      <x:c r="A15" s="74" t="n">
        <x:v>13</x:v>
      </x:c>
      <x:c r="B15" s="74" t="str">
        <x:v>CD-029</x:v>
      </x:c>
      <x:c r="C15" s="74" t="str">
        <x:v>Level 2 review workspace</x:v>
      </x:c>
      <x:c r="D15" s="74" t="str">
        <x:v>P10 · M06-001..039,049,051,052</x:v>
      </x:c>
      <x:c r="E15" s="74" t="str">
        <x:v>Trace chain on every finding: question → response → evidence → clause → violation → action → decision comment.</x:v>
      </x:c>
      <x:c r="F15" s="74" t="str">
        <x:v>R17, R18, R19, R24</x:v>
      </x:c>
      <x:c r="G15" s="74" t="str">
        <x:v>Build a trace chain from response to evidence to clause to violation to action, with an explicit decision rail. Opening a page must not silently mutate review state; duplicate action paths and inconsistent validation require a wiring decision before implementation.</x:v>
      </x:c>
      <x:c r="H15" s="74" t="str">
        <x:v>The workspace currently writes during page load and has duplicate action files with inconsistent reason validation. Review/inspection/notification changes are not proven transactional.</x:v>
      </x:c>
      <x:c r="I15" s="74" t="str">
        <x:v>immutable submission query → explicit start/claim → decision validation → review + inspection canonical transition → audit/notification → concurrency and failure tests</x:v>
      </x:c>
      <x:c r="J15" s="74" t="str">
        <x:v>DSG-024; DSG-A11Y-001</x:v>
      </x:c>
      <x:c r="K15" s="74" t="str">
        <x:v>3 composition hypotheses + research ledger + full state set + sponsor approval</x:v>
      </x:c>
      <x:c r="L15" s="74" t="str">
        <x:v>Codex wiring audit; explicit authorization; real runtime evidence; VERTICAL_SLICE_PASS</x:v>
      </x:c>
      <x:c r="M15" s="79" t="str">
        <x:v>Review &amp; Approval</x:v>
      </x:c>
      <x:c r="N15" s="79" t="str">
        <x:v>Review &amp; Approval · reuse TASK-WEB-SHELL-001 exactly; design page content and page-specific filters only.</x:v>
      </x:c>
    </x:row>
    <x:row r="16" ht="116.25" customHeight="1">
      <x:c r="A16" s="68" t="n">
        <x:v>14</x:v>
      </x:c>
      <x:c r="B16" s="68" t="str">
        <x:v>CD-030</x:v>
      </x:c>
      <x:c r="C16" s="68" t="str">
        <x:v>Version comparison</x:v>
      </x:c>
      <x:c r="D16" s="68" t="str">
        <x:v>P11 · M06-040..048,050,053</x:v>
      </x:c>
      <x:c r="E16" s="68" t="str">
        <x:v>Tamper-evident scope rail separates expected changes, unexpected changes and unchanged locked content.</x:v>
      </x:c>
      <x:c r="F16" s="68" t="str">
        <x:v>R17, R18, R19, R24</x:v>
      </x:c>
      <x:c r="G16" s="68" t="str">
        <x:v>Design a semantic scope rail that distinguishes expected returned-scope changes, unexpected locked changes and unchanged context without red/green-only encoding. Do not claim media/package diffs beyond the data actually available.</x:v>
      </x:c>
      <x:c r="H16" s="68" t="str">
        <x:v>Current comparison is primarily answer-snapshot rows. Evidence/media/package semantic diff and already-locked change detection must remain blocked unless supported by runtime data.</x:v>
      </x:c>
      <x:c r="I16" s="68" t="str">
        <x:v>version query → returned-scope rule → semantic diff derivation → non-color presentation → immutable-data and unexpected-change tests</x:v>
      </x:c>
      <x:c r="J16" s="68" t="str">
        <x:v>DSG-025; DSG-A11Y-001</x:v>
      </x:c>
      <x:c r="K16" s="68" t="str">
        <x:v>3 composition hypotheses + research ledger + full state set + sponsor approval</x:v>
      </x:c>
      <x:c r="L16" s="68" t="str">
        <x:v>Codex wiring audit; explicit authorization; real runtime evidence; VERTICAL_SLICE_PASS</x:v>
      </x:c>
      <x:c r="M16" s="73" t="str">
        <x:v>Review &amp; Approval</x:v>
      </x:c>
      <x:c r="N16" s="73" t="str">
        <x:v>Review &amp; Approval · reuse TASK-WEB-SHELL-001 exactly; design page content and page-specific filters only.</x:v>
      </x:c>
    </x:row>
    <x:row r="17" ht="116.25" customHeight="1">
      <x:c r="A17" s="74" t="n">
        <x:v>15</x:v>
      </x:c>
      <x:c r="B17" s="74" t="str">
        <x:v>CD-031</x:v>
      </x:c>
      <x:c r="C17" s="74" t="str">
        <x:v>Factory 360</x:v>
      </x:c>
      <x:c r="D17" s="74" t="str">
        <x:v>P12 · M07-001..020</x:v>
      </x:c>
      <x:c r="E17" s="74" t="str">
        <x:v>Spatial case timeline connects factory location, inspection events, evidence, decisions and risk recalculation.</x:v>
      </x:c>
      <x:c r="F17" s="74" t="str">
        <x:v>R16, R17, R19, R21</x:v>
      </x:c>
      <x:c r="G17" s="74" t="str">
        <x:v>Create a provenance- and freshness-led factory dossier with a spatial case timeline, not a CRM ‘360’ wall. Missing licence, legal, map, risk and timeline fields must be marked unavailable or handoff-blocked, never fabricated.</x:v>
      </x:c>
      <x:c r="H17" s="74" t="str">
        <x:v>Factory reads and supporting document/representative/product/material actions exist. Acceptance ledger still records partial licence, legal, map, risk, timeline and role-visibility coverage.</x:v>
      </x:c>
      <x:c r="I17" s="74" t="str">
        <x:v>factory identity query → role-masked joined history → documents/representatives/products/materials actions → storage/RLS/audit → missing-data and unauthorized tests</x:v>
      </x:c>
      <x:c r="J17" s="74" t="str">
        <x:v>DSG-026; DSG-A11Y-001</x:v>
      </x:c>
      <x:c r="K17" s="74" t="str">
        <x:v>3 composition hypotheses + research ledger + full state set + sponsor approval</x:v>
      </x:c>
      <x:c r="L17" s="74" t="str">
        <x:v>Codex wiring audit; explicit authorization; real runtime evidence; VERTICAL_SLICE_PASS</x:v>
      </x:c>
      <x:c r="M17" s="79" t="str">
        <x:v>Factory 360</x:v>
      </x:c>
      <x:c r="N17" s="79" t="str">
        <x:v>Factory 360 · reuse TASK-WEB-SHELL-001 exactly; design page content and page-specific filters only.</x:v>
      </x:c>
    </x:row>
  </x:sheetData>
  <x:mergeCells>
    <x:mergeCell ref="A1:L1"/>
    <x:mergeCell ref="A3:L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20" hidden="0" customWidth="1"/>
    <x:col min="3" max="3" width="20" hidden="0" customWidth="1"/>
    <x:col min="4" max="4" width="40" hidden="0" customWidth="1"/>
    <x:col min="5" max="5" width="36.66999816894531" hidden="0" customWidth="1"/>
    <x:col min="6" max="6" width="36.66999816894531" hidden="0" customWidth="1"/>
    <x:col min="7" max="7" width="34.439998626708984" hidden="0" customWidth="1"/>
    <x:col min="8" max="8" width="25.559999465942383" hidden="0" customWidth="1"/>
  </x:cols>
  <x:sheetData>
    <x:row r="1" ht="25.5" customHeight="1">
      <x:c r="A1" s="55" t="str">
        <x:v>Post-Approval SOP V3 — Design Approval to Proven Vertical Slice on the Approved Shell</x:v>
      </x:c>
      <x:c r="B1" s="55"/>
      <x:c r="C1" s="55"/>
      <x:c r="D1" s="55"/>
      <x:c r="E1" s="55"/>
      <x:c r="F1" s="55"/>
      <x:c r="G1" s="55"/>
      <x:c r="H1" s="55"/>
    </x:row>
    <x:row r="3">
      <x:c r="A3" t="str">
        <x:v>Sponsor design approval triggers an independent wiring audit. TASK-WEB-SHELL-001 is already sponsor-accepted and frozen: the audit verifies exact shell reuse or dedicated-channel isolation while tracing UI through server, data/provider, RLS, canonical transition, audit, side effects and tests.</x:v>
      </x:c>
    </x:row>
    <x:row r="5" ht="34.5" customHeight="1">
      <x:c r="A5" s="67" t="str">
        <x:v>Phase</x:v>
      </x:c>
      <x:c r="B5" s="67" t="str">
        <x:v>Status after phase</x:v>
      </x:c>
      <x:c r="C5" s="67" t="str">
        <x:v>Owner / reviewer</x:v>
      </x:c>
      <x:c r="D5" s="67" t="str">
        <x:v>Mandatory action</x:v>
      </x:c>
      <x:c r="E5" s="67" t="str">
        <x:v>Required evidence</x:v>
      </x:c>
      <x:c r="F5" s="67" t="str">
        <x:v>Stop / block condition</x:v>
      </x:c>
      <x:c r="G5" s="67" t="str">
        <x:v>Claude Code instruction</x:v>
      </x:c>
      <x:c r="H5" s="67" t="str">
        <x:v>Sponsor decision</x:v>
      </x:c>
    </x:row>
    <x:row r="6" ht="93.75" customHeight="1">
      <x:c r="A6" s="44" t="str">
        <x:v>0 · Sponsor design approval</x:v>
      </x:c>
      <x:c r="B6" s="44" t="str">
        <x:v>DESIGN_APPROVED</x:v>
      </x:c>
      <x:c r="C6" s="44" t="str">
        <x:v>Sponsor</x:v>
      </x:c>
      <x:c r="D6" s="44" t="str">
        <x:v>Record exact accepted artifact, states and P0/P1 corrections. Freeze design scope. Confirm the V3 shell/tab contract and global-versus-page boundary.</x:v>
      </x:c>
      <x:c r="E6" s="44" t="str">
        <x:v>Approved design link/hash; acceptance rows; protected behavior list.</x:v>
      </x:c>
      <x:c r="F6" s="44" t="str">
        <x:v>Approval is ambiguous, conditional items are not named, or the design invents behavior. Stop if the slice adds an unsupported tab, duplicates global shell controls, leaks another role's destination or imports the desktop shell into field/external virtual flows.</x:v>
      </x:c>
      <x:c r="G6" s="44" t="str">
        <x:v>Do not edit application code yet.</x:v>
      </x:c>
      <x:c r="H6" s="44" t="str">
        <x:v>Approve design or return P0/P1 correction.</x:v>
      </x:c>
    </x:row>
    <x:row r="7" ht="93.75" customHeight="1">
      <x:c r="A7" s="53" t="str">
        <x:v>1 · Session and authority rebase</x:v>
      </x:c>
      <x:c r="B7" s="53" t="str">
        <x:v>WIRING_AUDIT</x:v>
      </x:c>
      <x:c r="C7" s="53" t="str">
        <x:v>Codex</x:v>
      </x:c>
      <x:c r="D7" s="53" t="str">
        <x:v>Re-read contract/current slice; confirm branch/worktree; inspect dirty state; identify requirements, processes, screens, engines and do-not-touch areas. Confirm the V3 shell/tab contract and global-versus-page boundary.</x:v>
      </x:c>
      <x:c r="E7" s="53" t="str">
        <x:v>Source commit; branch; git status; task/requirement/acceptance IDs.</x:v>
      </x:c>
      <x:c r="F7" s="53" t="str">
        <x:v>Task conflicts with contract or requires main/dirty-worktree mutation. Stop if the slice adds an unsupported tab, duplicates global shell controls, leaks another role's destination or imports the desktop shell into field/external virtual flows.</x:v>
      </x:c>
      <x:c r="G7" s="53" t="str">
        <x:v>Wait for a safe implementation context.</x:v>
      </x:c>
      <x:c r="H7" s="53" t="str">
        <x:v>Acknowledge discovered scope.</x:v>
      </x:c>
    </x:row>
    <x:row r="8" ht="93.75" customHeight="1">
      <x:c r="A8" s="44" t="str">
        <x:v>2 · End-to-end wiring discovery</x:v>
      </x:c>
      <x:c r="B8" s="44" t="str">
        <x:v>WIRING_AUDIT</x:v>
      </x:c>
      <x:c r="C8" s="44" t="str">
        <x:v>Codex</x:v>
      </x:c>
      <x:c r="D8" s="44" t="str">
        <x:v>Trace every action/state: UI → component → route/server action → validation/guard → canonical transition → table/RPC/storage/provider → grants/RLS/role → audit → notification/side effect → tests. Confirm the V3 shell/tab contract and global-versus-page boundary.</x:v>
      </x:c>
      <x:c r="E8" s="44" t="str">
        <x:v>WIRING_MAP_&lt;CD&gt;.csv with exact paths, schema objects, policies, events and gaps.</x:v>
      </x:c>
      <x:c r="F8" s="44" t="str">
        <x:v>Any leg is guessed, raw provider errors are exposed, or an unsupported control/data field is shown. Stop if the slice adds an unsupported tab, duplicates global shell controls, leaks another role's destination or imports the desktop shell into field/external virtual flows.</x:v>
      </x:c>
      <x:c r="G8" s="44" t="str">
        <x:v>Mark missing legs HANDOFF_BLOCKED; never invent them.</x:v>
      </x:c>
      <x:c r="H8" s="44" t="str">
        <x:v>Accept wiring scope or require correction/change control.</x:v>
      </x:c>
    </x:row>
    <x:row r="9" ht="93.75" customHeight="1">
      <x:c r="A9" s="53" t="str">
        <x:v>3 · Risk and transaction review</x:v>
      </x:c>
      <x:c r="B9" s="53" t="str">
        <x:v>WIRING_AUDIT</x:v>
      </x:c>
      <x:c r="C9" s="53" t="str">
        <x:v>Codex + security/data review</x:v>
      </x:c>
      <x:c r="D9" s="53" t="str">
        <x:v>Test authorization, stale/concurrent state, partial writes, rollback/reconciliation, immutability and provider failure. Verify transaction claims against actual RPC/transaction boundaries. Confirm the V3 shell/tab contract and global-versus-page boundary.</x:v>
      </x:c>
      <x:c r="E9" s="53" t="str">
        <x:v>P0/P1 risk register; RLS/grant review; transition/audit map; negative test plan.</x:v>
      </x:c>
      <x:c r="F9" s="53" t="str">
        <x:v>Multi-write flow is called atomic without proof; direct mutation bypasses guards; audit or RLS gap exists. Stop if the slice adds an unsupported tab, duplicates global shell controls, leaks another role's destination or imports the desktop shell into field/external virtual flows.</x:v>
      </x:c>
      <x:c r="G9" s="53" t="str">
        <x:v>Propose the smallest contract-compliant correction; do not weaken controls.</x:v>
      </x:c>
      <x:c r="H9" s="53" t="str">
        <x:v>Authorize correction or block.</x:v>
      </x:c>
    </x:row>
    <x:row r="10" ht="93.75" customHeight="1">
      <x:c r="A10" s="44" t="str">
        <x:v>4 · Implementation authorization</x:v>
      </x:c>
      <x:c r="B10" s="44" t="str">
        <x:v>IMPLEMENTATION_AUTHORIZED</x:v>
      </x:c>
      <x:c r="C10" s="44" t="str">
        <x:v>Sponsor</x:v>
      </x:c>
      <x:c r="D10" s="44" t="str">
        <x:v>Approve exact vertical slice, files, migrations/policies if any, tests, rollback and acceptance evidence. Confirm the V3 shell/tab contract and global-versus-page boundary.</x:v>
      </x:c>
      <x:c r="E10" s="44" t="str">
        <x:v>Signed implementation manifest and resolved blockers.</x:v>
      </x:c>
      <x:c r="F10" s="44" t="str">
        <x:v>Scope expands, new policy is invented, or destructive/external action lacks authority. Stop if the slice adds an unsupported tab, duplicates global shell controls, leaks another role's destination or imports the desktop shell into field/external virtual flows.</x:v>
      </x:c>
      <x:c r="G10" s="44" t="str">
        <x:v>Use safe non-main branch/worktree; preserve unrelated dirty changes.</x:v>
      </x:c>
      <x:c r="H10" s="44" t="str">
        <x:v>Explicitly authorize implementation.</x:v>
      </x:c>
    </x:row>
    <x:row r="11" ht="93.75" customHeight="1">
      <x:c r="A11" s="53" t="str">
        <x:v>5 · Controlled implementation</x:v>
      </x:c>
      <x:c r="B11" s="53" t="str">
        <x:v>IMPLEMENTED_UNVERIFIED</x:v>
      </x:c>
      <x:c r="C11" s="53" t="str">
        <x:v>Claude Code</x:v>
      </x:c>
      <x:c r="D11" s="53" t="str">
        <x:v>Implement the smallest coherent slice across UI, backend, data, policies, audit, localization and tests. Confirm the V3 shell/tab contract and global-versus-page boundary.</x:v>
      </x:c>
      <x:c r="E11" s="53" t="str">
        <x:v>Diff mapped to IDs; migration/policy review; no mocks claimed as completion.</x:v>
      </x:c>
      <x:c r="F11" s="53" t="str">
        <x:v>Protected behavior changes, immutable version edited, direct status mutation or silent conflict overwrite occurs. Stop if the slice adds an unsupported tab, duplicates global shell controls, leaks another role's destination or imports the desktop shell into field/external virtual flows.</x:v>
      </x:c>
      <x:c r="G11" s="53" t="str">
        <x:v>Stop and report; do not commit/push/deploy without approval.</x:v>
      </x:c>
      <x:c r="H11" s="53" t="str">
        <x:v>No acceptance yet.</x:v>
      </x:c>
    </x:row>
    <x:row r="12" ht="93.75" customHeight="1">
      <x:c r="A12" s="44" t="str">
        <x:v>6 · Static and build verification</x:v>
      </x:c>
      <x:c r="B12" s="44" t="str">
        <x:v>IMPLEMENTED_UNVERIFIED</x:v>
      </x:c>
      <x:c r="C12" s="44" t="str">
        <x:v>Claude Code</x:v>
      </x:c>
      <x:c r="D12" s="44" t="str">
        <x:v>Run type/lint/build/unit checks and targeted database/policy tests. Confirm the V3 shell/tab contract and global-versus-page boundary.</x:v>
      </x:c>
      <x:c r="E12" s="44" t="str">
        <x:v>Command logs and zero unexplained failures.</x:v>
      </x:c>
      <x:c r="F12" s="44" t="str">
        <x:v>Build failure, skipped security test or unrelated regression. Stop if the slice adds an unsupported tab, duplicates global shell controls, leaks another role's destination or imports the desktop shell into field/external virtual flows.</x:v>
      </x:c>
      <x:c r="G12" s="44" t="str">
        <x:v>Fix only in-scope defects; record residuals.</x:v>
      </x:c>
      <x:c r="H12" s="44" t="str">
        <x:v>No acceptance yet.</x:v>
      </x:c>
    </x:row>
    <x:row r="13" ht="93.75" customHeight="1">
      <x:c r="A13" s="53" t="str">
        <x:v>7 · Functional runtime proof</x:v>
      </x:c>
      <x:c r="B13" s="53" t="str">
        <x:v>IMPLEMENTED_UNVERIFIED</x:v>
      </x:c>
      <x:c r="C13" s="53" t="str">
        <x:v>Claude Code + Codex review</x:v>
      </x:c>
      <x:c r="D13" s="53" t="str">
        <x:v>Exercise happy path with real identifiers and reconcile UI result with database record, canonical state, audit event and side effect. Confirm the V3 shell/tab contract and global-versus-page boundary.</x:v>
      </x:c>
      <x:c r="E13" s="53" t="str">
        <x:v>Screenshots/traces; before/after records; audit/event IDs; provider/notification truth.</x:v>
      </x:c>
      <x:c r="F13" s="53" t="str">
        <x:v>UI success lacks data/audit evidence or auto-recovers by hiding failure. Stop if the slice adds an unsupported tab, duplicates global shell controls, leaks another role's destination or imports the desktop shell into field/external virtual flows.</x:v>
      </x:c>
      <x:c r="G13" s="53" t="str">
        <x:v>Do not call the slice complete.</x:v>
      </x:c>
      <x:c r="H13" s="53" t="str">
        <x:v>Review functional evidence.</x:v>
      </x:c>
    </x:row>
    <x:row r="14" ht="93.75" customHeight="1">
      <x:c r="A14" s="44" t="str">
        <x:v>8 · Negative/security/partial-failure proof</x:v>
      </x:c>
      <x:c r="B14" s="44" t="str">
        <x:v>IMPLEMENTED_UNVERIFIED</x:v>
      </x:c>
      <x:c r="C14" s="44" t="str">
        <x:v>Codex independent review</x:v>
      </x:c>
      <x:c r="D14" s="44" t="str">
        <x:v>Test unauthorized role, invalid input, stale/concurrent state, double submit, provider/storage failure, partial write, raw-error containment and safe retry/reconciliation. Confirm the V3 shell/tab contract and global-versus-page boundary.</x:v>
      </x:c>
      <x:c r="E14" s="44" t="str">
        <x:v>Test results and runtime evidence for every high-risk branch.</x:v>
      </x:c>
      <x:c r="F14" s="44" t="str">
        <x:v>Account/data leakage, raw provider error, silent partial success, RLS bypass or missing audit. Stop if the slice adds an unsupported tab, duplicates global shell controls, leaks another role's destination or imports the desktop shell into field/external virtual flows.</x:v>
      </x:c>
      <x:c r="G14" s="44" t="str">
        <x:v>Correct P0/P1 before progression.</x:v>
      </x:c>
      <x:c r="H14" s="44" t="str">
        <x:v>Review risk closure.</x:v>
      </x:c>
    </x:row>
    <x:row r="15" ht="93.75" customHeight="1">
      <x:c r="A15" s="53" t="str">
        <x:v>9 · Experience proof</x:v>
      </x:c>
      <x:c r="B15" s="53" t="str">
        <x:v>IMPLEMENTED_UNVERIFIED</x:v>
      </x:c>
      <x:c r="C15" s="53" t="str">
        <x:v>Codex + design QA</x:v>
      </x:c>
      <x:c r="D15" s="53" t="str">
        <x:v>Run Arabic-first RTL, mixed direction, dark/light, desktop/narrow/mobile/tablet as applicable, keyboard/focus, screen reader status/alerts, reflow and reduced motion. Confirm the V3 shell/tab contract and global-versus-page boundary.</x:v>
      </x:c>
      <x:c r="E15" s="53" t="str">
        <x:v>Runtime captures and accessibility assertions mapped to DSG-A11Y-001.</x:v>
      </x:c>
      <x:c r="F15" s="53" t="str">
        <x:v>Critical content/action unavailable, focus lost, color-only state or false mirrored layout. Stop if the slice adds an unsupported tab, duplicates global shell controls, leaks another role's destination or imports the desktop shell into field/external virtual flows.</x:v>
      </x:c>
      <x:c r="G15" s="53" t="str">
        <x:v>Correct P0/P1; record P2 for Big Bang critique.</x:v>
      </x:c>
      <x:c r="H15" s="53" t="str">
        <x:v>Review experience evidence.</x:v>
      </x:c>
    </x:row>
    <x:row r="16" ht="93.75" customHeight="1">
      <x:c r="A16" s="44" t="str">
        <x:v>10 · Vertical-slice certification</x:v>
      </x:c>
      <x:c r="B16" s="44" t="str">
        <x:v>VERTICAL_SLICE_PASS</x:v>
      </x:c>
      <x:c r="C16" s="44" t="str">
        <x:v>Codex</x:v>
      </x:c>
      <x:c r="D16" s="44" t="str">
        <x:v>Independently reconcile requirements, accepted design, diff, runtime data, audit, security, negative paths and regression results. Confirm the V3 shell/tab contract and global-versus-page boundary.</x:v>
      </x:c>
      <x:c r="E16" s="44" t="str">
        <x:v>Certification record with Pass/Correct/Block matrix and residual P2 list.</x:v>
      </x:c>
      <x:c r="F16" s="44" t="str">
        <x:v>Any P0/P1 criterion fails or lacks evidence. Stop if the slice adds an unsupported tab, duplicates global shell controls, leaks another role's destination or imports the desktop shell into field/external virtual flows.</x:v>
      </x:c>
      <x:c r="G16" s="44" t="str">
        <x:v>Do not mark complete or hand off as built.</x:v>
      </x:c>
      <x:c r="H16" s="44" t="str">
        <x:v>Recommend runtime acceptance or block.</x:v>
      </x:c>
    </x:row>
    <x:row r="17" ht="93.75" customHeight="1">
      <x:c r="A17" s="53" t="str">
        <x:v>11 · Sponsor runtime acceptance</x:v>
      </x:c>
      <x:c r="B17" s="53" t="str">
        <x:v>SPONSOR_RUNTIME_ACCEPTED</x:v>
      </x:c>
      <x:c r="C17" s="53" t="str">
        <x:v>Sponsor</x:v>
      </x:c>
      <x:c r="D17" s="53" t="str">
        <x:v>Accept the functioning vertical slice separately from design approval. Confirm the V3 shell/tab contract and global-versus-page boundary.</x:v>
      </x:c>
      <x:c r="E17" s="53" t="str">
        <x:v>Sponsor decision linked to certification evidence.</x:v>
      </x:c>
      <x:c r="F17" s="53" t="str">
        <x:v>Runtime differs materially from accepted design/contract. Stop if the slice adds an unsupported tab, duplicates global shell controls, leaks another role's destination or imports the desktop shell into field/external virtual flows.</x:v>
      </x:c>
      <x:c r="G17" s="53" t="str">
        <x:v>Only now can the slice be treated as sponsor accepted.</x:v>
      </x:c>
      <x:c r="H17" s="53" t="str">
        <x:v>Accept, accept with correction, or block.</x:v>
      </x:c>
    </x:row>
  </x:sheetData>
  <x:mergeCells>
    <x:mergeCell ref="A1:H1"/>
    <x:mergeCell ref="A3:H3"/>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21.110000610351562" hidden="0" customWidth="1"/>
    <x:col min="3" max="3" width="21.110000610351562" hidden="0" customWidth="1"/>
    <x:col min="4" max="4" width="27.780000686645508" hidden="0" customWidth="1"/>
    <x:col min="5" max="5" width="16.670000076293945" hidden="0" customWidth="1"/>
    <x:col min="6" max="6" width="23.329999923706055" hidden="0" customWidth="1"/>
    <x:col min="7" max="7" width="46.66999816894531" hidden="0" customWidth="1"/>
    <x:col min="8" max="8" width="20" hidden="0" customWidth="1"/>
  </x:cols>
  <x:sheetData>
    <x:row r="1" ht="27" customHeight="1">
      <x:c r="A1" s="81" t="str">
        <x:v>TASK-WEB-SHELL-001 · Sponsor-Accepted Frozen Shared Shell and Business-Tab Disposition</x:v>
      </x:c>
      <x:c r="B1" s="81"/>
      <x:c r="C1" s="81"/>
      <x:c r="D1" s="81"/>
      <x:c r="E1" s="81"/>
      <x:c r="F1" s="81"/>
      <x:c r="G1" s="81"/>
      <x:c r="H1" s="81"/>
    </x:row>
    <x:row r="3" ht="43.5" customHeight="1">
      <x:c r="A3" s="83" t="str">
        <x:v>Sponsor accepted the functioning reconciled shell on 2026-07-13. Verification: typecheck/build PASS; targeted Playwright 10/10; visual capture 4/4; complete regression 41/41. The 22 business-team tabs below remain wired, consolidated, renamed, hidden or removed exactly as recorded; CD-020–031 may design page content but may not redesign global chrome.</x:v>
      </x:c>
      <x:c r="B3" s="83"/>
      <x:c r="C3" s="83"/>
      <x:c r="D3" s="83"/>
      <x:c r="E3" s="83"/>
      <x:c r="F3" s="83"/>
      <x:c r="G3" s="83"/>
      <x:c r="H3" s="83"/>
    </x:row>
    <x:row r="5" ht="34.5" customHeight="1">
      <x:c r="A5" s="67" t="str">
        <x:v>Business tab</x:v>
      </x:c>
      <x:c r="B5" s="67" t="str">
        <x:v>Disposition</x:v>
      </x:c>
      <x:c r="C5" s="67" t="str">
        <x:v>Route</x:v>
      </x:c>
      <x:c r="D5" s="67" t="str">
        <x:v>Role visibility</x:v>
      </x:c>
      <x:c r="E5" s="67" t="str">
        <x:v>Shell group</x:v>
      </x:c>
      <x:c r="F5" s="67" t="str">
        <x:v>Runtime status</x:v>
      </x:c>
      <x:c r="G5" s="67" t="str">
        <x:v>Mandatory truth / correction</x:v>
      </x:c>
      <x:c r="H5" s="67" t="str">
        <x:v>Affected CD prompts</x:v>
      </x:c>
    </x:row>
    <x:row r="6" ht="66" customHeight="1">
      <x:c r="A6" s="73" t="str">
        <x:v>Dashboard</x:v>
      </x:c>
      <x:c r="B6" s="73" t="str">
        <x:v>WIRED</x:v>
      </x:c>
      <x:c r="C6" s="73" t="str">
        <x:v>/operations</x:v>
      </x:c>
      <x:c r="D6" s="73" t="str">
        <x:v>ops; leadership</x:v>
      </x:c>
      <x:c r="E6" s="73" t="str">
        <x:v>Command</x:v>
      </x:c>
      <x:c r="F6" s="73" t="str">
        <x:v>Implemented</x:v>
      </x:c>
      <x:c r="G6" s="73" t="str">
        <x:v>Source-backed operational dashboard. Strategic KPI mode is not invented without governed metrics.</x:v>
      </x:c>
      <x:c r="H6" s="73" t="str">
        <x:v>CD-032</x:v>
      </x:c>
    </x:row>
    <x:row r="7" ht="66" customHeight="1">
      <x:c r="A7" s="79" t="str">
        <x:v>Operations Center</x:v>
      </x:c>
      <x:c r="B7" s="79" t="str">
        <x:v>WIRED</x:v>
      </x:c>
      <x:c r="C7" s="79" t="str">
        <x:v>/operations/live</x:v>
      </x:c>
      <x:c r="D7" s="79" t="str">
        <x:v>ops; leadership</x:v>
      </x:c>
      <x:c r="E7" s="79" t="str">
        <x:v>Command</x:v>
      </x:c>
      <x:c r="F7" s="79" t="str">
        <x:v>Implemented</x:v>
      </x:c>
      <x:c r="G7" s="79" t="str">
        <x:v>Authenticated view; projected routes remain explicitly non-GPS.</x:v>
      </x:c>
      <x:c r="H7" s="79" t="str">
        <x:v>CD-032</x:v>
      </x:c>
    </x:row>
    <x:row r="8" ht="66" customHeight="1">
      <x:c r="A8" s="73" t="str">
        <x:v>Factory 360</x:v>
      </x:c>
      <x:c r="B8" s="73" t="str">
        <x:v>WIRED</x:v>
      </x:c>
      <x:c r="C8" s="73" t="str">
        <x:v>/factories</x:v>
      </x:c>
      <x:c r="D8" s="73" t="str">
        <x:v>planner; inspector; reviewer; ops; leadership</x:v>
      </x:c>
      <x:c r="E8" s="73" t="str">
        <x:v>Command</x:v>
      </x:c>
      <x:c r="F8" s="73" t="str">
        <x:v>Implemented</x:v>
      </x:c>
      <x:c r="G8" s="73" t="str">
        <x:v>Dossiers require freshness and partial-service truth.</x:v>
      </x:c>
      <x:c r="H8" s="73" t="str">
        <x:v>CD-022; CD-027; CD-031; CD-032</x:v>
      </x:c>
    </x:row>
    <x:row r="9" ht="66" customHeight="1">
      <x:c r="A9" s="79" t="str">
        <x:v>Planning</x:v>
      </x:c>
      <x:c r="B9" s="79" t="str">
        <x:v>WIRED</x:v>
      </x:c>
      <x:c r="C9" s="79" t="str">
        <x:v>/planning</x:v>
      </x:c>
      <x:c r="D9" s="79" t="str">
        <x:v>planner</x:v>
      </x:c>
      <x:c r="E9" s="79" t="str">
        <x:v>Inspection</x:v>
      </x:c>
      <x:c r="F9" s="79" t="str">
        <x:v>Implemented</x:v>
      </x:c>
      <x:c r="G9" s="79" t="str">
        <x:v>Bulk, single and immediate remain real child routes.</x:v>
      </x:c>
      <x:c r="H9" s="79" t="str">
        <x:v>CD-020–025</x:v>
      </x:c>
    </x:row>
    <x:row r="10" ht="66" customHeight="1">
      <x:c r="A10" s="73" t="str">
        <x:v>Inspection</x:v>
      </x:c>
      <x:c r="B10" s="73" t="str">
        <x:v>GROUP ONLY</x:v>
      </x:c>
      <x:c r="C10" s="73" t="str">
        <x:v>—</x:v>
      </x:c>
      <x:c r="D10" s="73" t="str">
        <x:v>role-dependent</x:v>
      </x:c>
      <x:c r="E10" s="73" t="str">
        <x:v>Inspection</x:v>
      </x:c>
      <x:c r="F10" s="73" t="str">
        <x:v>Implemented grouping</x:v>
      </x:c>
      <x:c r="G10" s="73" t="str">
        <x:v>Never create a fake group landing route.</x:v>
      </x:c>
      <x:c r="H10" s="73" t="str">
        <x:v>CD-026–030; CD-033–042</x:v>
      </x:c>
    </x:row>
    <x:row r="11" ht="66" customHeight="1">
      <x:c r="A11" s="79" t="str">
        <x:v>Visit Management</x:v>
      </x:c>
      <x:c r="B11" s="79" t="str">
        <x:v>WIRED GOVERNED ADDITION</x:v>
      </x:c>
      <x:c r="C11" s="79" t="str">
        <x:v>/visits</x:v>
      </x:c>
      <x:c r="D11" s="79" t="str">
        <x:v>planner; ops</x:v>
      </x:c>
      <x:c r="E11" s="79" t="str">
        <x:v>Inspection</x:v>
      </x:c>
      <x:c r="F11" s="79" t="str">
        <x:v>Implemented</x:v>
      </x:c>
      <x:c r="G11" s="79" t="str">
        <x:v>Catalogue route retained even though the reference grouped it differently.</x:v>
      </x:c>
      <x:c r="H11" s="79" t="str">
        <x:v>CD-026; CD-027</x:v>
      </x:c>
    </x:row>
    <x:row r="12" ht="66" customHeight="1">
      <x:c r="A12" s="73" t="str">
        <x:v>Inspection Execution</x:v>
      </x:c>
      <x:c r="B12" s="73" t="str">
        <x:v>WIRED</x:v>
      </x:c>
      <x:c r="C12" s="73" t="str">
        <x:v>/field</x:v>
      </x:c>
      <x:c r="D12" s="73" t="str">
        <x:v>inspector</x:v>
      </x:c>
      <x:c r="E12" s="73" t="str">
        <x:v>Inspection</x:v>
      </x:c>
      <x:c r="F12" s="73" t="str">
        <x:v>Implemented</x:v>
      </x:c>
      <x:c r="G12" s="73" t="str">
        <x:v>Dedicated field tabs and sync truth remain authoritative.</x:v>
      </x:c>
      <x:c r="H12" s="73" t="str">
        <x:v>CD-033–037</x:v>
      </x:c>
    </x:row>
    <x:row r="13" ht="66" customHeight="1">
      <x:c r="A13" s="79" t="str">
        <x:v>Virtual Inspections</x:v>
      </x:c>
      <x:c r="B13" s="79" t="str">
        <x:v>WIRED INTERNAL</x:v>
      </x:c>
      <x:c r="C13" s="79" t="str">
        <x:v>/virtual</x:v>
      </x:c>
      <x:c r="D13" s="79" t="str">
        <x:v>inspector/internal participant</x:v>
      </x:c>
      <x:c r="E13" s="79" t="str">
        <x:v>Inspection</x:v>
      </x:c>
      <x:c r="F13" s="79" t="str">
        <x:v>Implemented</x:v>
      </x:c>
      <x:c r="G13" s="79" t="str">
        <x:v>External representatives receive session-only navigation.</x:v>
      </x:c>
      <x:c r="H13" s="79" t="str">
        <x:v>CD-038–042</x:v>
      </x:c>
    </x:row>
    <x:row r="14" ht="66" customHeight="1">
      <x:c r="A14" s="73" t="str">
        <x:v>Review &amp; Approval</x:v>
      </x:c>
      <x:c r="B14" s="73" t="str">
        <x:v>WIRED</x:v>
      </x:c>
      <x:c r="C14" s="73" t="str">
        <x:v>/reviews</x:v>
      </x:c>
      <x:c r="D14" s="73" t="str">
        <x:v>reviewer</x:v>
      </x:c>
      <x:c r="E14" s="73" t="str">
        <x:v>Inspection</x:v>
      </x:c>
      <x:c r="F14" s="73" t="str">
        <x:v>Implemented</x:v>
      </x:c>
      <x:c r="G14" s="73" t="str">
        <x:v>Immutable evidence-led review; no inspector-content edit.</x:v>
      </x:c>
      <x:c r="H14" s="73" t="str">
        <x:v>CD-028–030</x:v>
      </x:c>
    </x:row>
    <x:row r="15" ht="66" customHeight="1">
      <x:c r="A15" s="79" t="str">
        <x:v>Compliance Library</x:v>
      </x:c>
      <x:c r="B15" s="79" t="str">
        <x:v>WIRED</x:v>
      </x:c>
      <x:c r="C15" s="79" t="str">
        <x:v>/admin/regulations</x:v>
      </x:c>
      <x:c r="D15" s="79" t="str">
        <x:v>compliance_admin</x:v>
      </x:c>
      <x:c r="E15" s="79" t="str">
        <x:v>Control plane</x:v>
      </x:c>
      <x:c r="F15" s="79" t="str">
        <x:v>Implemented</x:v>
      </x:c>
      <x:c r="G15" s="79" t="str">
        <x:v>Version and maker-checker behavior preserved.</x:v>
      </x:c>
      <x:c r="H15" s="79" t="str">
        <x:v>CD-005; CD-006</x:v>
      </x:c>
    </x:row>
    <x:row r="16" ht="66" customHeight="1">
      <x:c r="A16" s="73" t="str">
        <x:v>Approval Queue</x:v>
      </x:c>
      <x:c r="B16" s="73" t="str">
        <x:v>CONSOLIDATED</x:v>
      </x:c>
      <x:c r="C16" s="73" t="str">
        <x:v>/admin</x:v>
      </x:c>
      <x:c r="D16" s="73" t="str">
        <x:v>admin-family roles</x:v>
      </x:c>
      <x:c r="E16" s="73" t="str">
        <x:v>Control plane</x:v>
      </x:c>
      <x:c r="F16" s="73" t="str">
        <x:v>Implemented logical mode</x:v>
      </x:c>
      <x:c r="G16" s="73" t="str">
        <x:v>Use control-plane home; do not invent a duplicate route.</x:v>
      </x:c>
      <x:c r="H16" s="73" t="str">
        <x:v>CD-004</x:v>
      </x:c>
    </x:row>
    <x:row r="17" ht="66" customHeight="1">
      <x:c r="A17" s="79" t="str">
        <x:v>Enforcement</x:v>
      </x:c>
      <x:c r="B17" s="79" t="str">
        <x:v>RENAMED + WIRED</x:v>
      </x:c>
      <x:c r="C17" s="79" t="str">
        <x:v>/admin/violations</x:v>
      </x:c>
      <x:c r="D17" s="79" t="str">
        <x:v>compliance_admin</x:v>
      </x:c>
      <x:c r="E17" s="79" t="str">
        <x:v>Control plane</x:v>
      </x:c>
      <x:c r="F17" s="79" t="str">
        <x:v>Implemented</x:v>
      </x:c>
      <x:c r="G17" s="79" t="str">
        <x:v>Shown as Enforcement Library; penalty mode stays governed.</x:v>
      </x:c>
      <x:c r="H17" s="79" t="str">
        <x:v>CD-010; CD-011</x:v>
      </x:c>
    </x:row>
    <x:row r="18" ht="66" customHeight="1">
      <x:c r="A18" s="73" t="str">
        <x:v>Analytics</x:v>
      </x:c>
      <x:c r="B18" s="73" t="str">
        <x:v>HIDDEN / BLOCKED</x:v>
      </x:c>
      <x:c r="C18" s="73" t="str">
        <x:v>—</x:v>
      </x:c>
      <x:c r="D18" s="73" t="str">
        <x:v>none</x:v>
      </x:c>
      <x:c r="E18" s="73" t="str">
        <x:v>—</x:v>
      </x:c>
      <x:c r="F18" s="73" t="str">
        <x:v>No governed route</x:v>
      </x:c>
      <x:c r="G18" s="73" t="str">
        <x:v>No placeholder or unapproved KPI semantics.</x:v>
      </x:c>
      <x:c r="H18" s="73" t="str">
        <x:v>None</x:v>
      </x:c>
    </x:row>
    <x:row r="19" ht="66" customHeight="1">
      <x:c r="A19" s="79" t="str">
        <x:v>Administration</x:v>
      </x:c>
      <x:c r="B19" s="79" t="str">
        <x:v>GROUP ONLY</x:v>
      </x:c>
      <x:c r="C19" s="79" t="str">
        <x:v>role-scoped children</x:v>
      </x:c>
      <x:c r="D19" s="79" t="str">
        <x:v>admin-family roles</x:v>
      </x:c>
      <x:c r="E19" s="79" t="str">
        <x:v>Control plane</x:v>
      </x:c>
      <x:c r="F19" s="79" t="str">
        <x:v>Implemented grouping</x:v>
      </x:c>
      <x:c r="G19" s="79" t="str">
        <x:v>Group is not an authority grant.</x:v>
      </x:c>
      <x:c r="H19" s="79" t="str">
        <x:v>CD-004–019</x:v>
      </x:c>
    </x:row>
    <x:row r="20" ht="66" customHeight="1">
      <x:c r="A20" s="73" t="str">
        <x:v>Users &amp; Roles</x:v>
      </x:c>
      <x:c r="B20" s="73" t="str">
        <x:v>WIRED</x:v>
      </x:c>
      <x:c r="C20" s="73" t="str">
        <x:v>/admin/access</x:v>
      </x:c>
      <x:c r="D20" s="73" t="str">
        <x:v>security_admin</x:v>
      </x:c>
      <x:c r="E20" s="73" t="str">
        <x:v>Control plane</x:v>
      </x:c>
      <x:c r="F20" s="73" t="str">
        <x:v>Implemented</x:v>
      </x:c>
      <x:c r="G20" s="73" t="str">
        <x:v>RLS and segregation remain enforcement.</x:v>
      </x:c>
      <x:c r="H20" s="73" t="str">
        <x:v>CD-017</x:v>
      </x:c>
    </x:row>
    <x:row r="21" ht="66" customHeight="1">
      <x:c r="A21" s="79" t="str">
        <x:v>Lookup Management</x:v>
      </x:c>
      <x:c r="B21" s="79" t="str">
        <x:v>HIDDEN / BLOCKED</x:v>
      </x:c>
      <x:c r="C21" s="79" t="str">
        <x:v>—</x:v>
      </x:c>
      <x:c r="D21" s="79" t="str">
        <x:v>none</x:v>
      </x:c>
      <x:c r="E21" s="79" t="str">
        <x:v>—</x:v>
      </x:c>
      <x:c r="F21" s="79" t="str">
        <x:v>No governed route</x:v>
      </x:c>
      <x:c r="G21" s="79" t="str">
        <x:v>Do not add a fake page.</x:v>
      </x:c>
      <x:c r="H21" s="79" t="str">
        <x:v>None</x:v>
      </x:c>
    </x:row>
    <x:row r="22" ht="66" customHeight="1">
      <x:c r="A22" s="73" t="str">
        <x:v>Risk Configuration</x:v>
      </x:c>
      <x:c r="B22" s="73" t="str">
        <x:v>WIRED</x:v>
      </x:c>
      <x:c r="C22" s="73" t="str">
        <x:v>/admin/risk</x:v>
      </x:c>
      <x:c r="D22" s="73" t="str">
        <x:v>risk_owner</x:v>
      </x:c>
      <x:c r="E22" s="73" t="str">
        <x:v>Control plane</x:v>
      </x:c>
      <x:c r="F22" s="73" t="str">
        <x:v>Implemented</x:v>
      </x:c>
      <x:c r="G22" s="73" t="str">
        <x:v>No invented formula, weights or thresholds.</x:v>
      </x:c>
      <x:c r="H22" s="73" t="str">
        <x:v>CD-014</x:v>
      </x:c>
    </x:row>
    <x:row r="23" ht="66" customHeight="1">
      <x:c r="A23" s="79" t="str">
        <x:v>Survey Configuration</x:v>
      </x:c>
      <x:c r="B23" s="79" t="str">
        <x:v>RENAMED + WIRED</x:v>
      </x:c>
      <x:c r="C23" s="79" t="str">
        <x:v>/admin/packages</x:v>
      </x:c>
      <x:c r="D23" s="79" t="str">
        <x:v>form_admin; compliance_admin</x:v>
      </x:c>
      <x:c r="E23" s="79" t="str">
        <x:v>Control plane</x:v>
      </x:c>
      <x:c r="F23" s="79" t="str">
        <x:v>Implemented</x:v>
      </x:c>
      <x:c r="G23" s="79" t="str">
        <x:v>Shown as Packages &amp; Surveys; reuse governed designer.</x:v>
      </x:c>
      <x:c r="H23" s="79" t="str">
        <x:v>CD-008; CD-009</x:v>
      </x:c>
    </x:row>
    <x:row r="24" ht="66" customHeight="1">
      <x:c r="A24" s="73" t="str">
        <x:v>Notification Configuration</x:v>
      </x:c>
      <x:c r="B24" s="73" t="str">
        <x:v>HIDDEN PENDING GOVERNED SURFACE</x:v>
      </x:c>
      <x:c r="C24" s="73" t="str">
        <x:v>—</x:v>
      </x:c>
      <x:c r="D24" s="73" t="str">
        <x:v>none in shell</x:v>
      </x:c>
      <x:c r="E24" s="73" t="str">
        <x:v>—</x:v>
      </x:c>
      <x:c r="F24" s="73" t="str">
        <x:v>SCR-ADM-080 gap</x:v>
      </x:c>
      <x:c r="G24" s="73" t="str">
        <x:v>Notification bell remains; do not claim provider/rule configuration.</x:v>
      </x:c>
      <x:c r="H24" s="73" t="str">
        <x:v>CD-016</x:v>
      </x:c>
    </x:row>
    <x:row r="25" ht="66" customHeight="1">
      <x:c r="A25" s="79" t="str">
        <x:v>Integration Management</x:v>
      </x:c>
      <x:c r="B25" s="79" t="str">
        <x:v>HIDDEN / BLOCKED</x:v>
      </x:c>
      <x:c r="C25" s="79" t="str">
        <x:v>—</x:v>
      </x:c>
      <x:c r="D25" s="79" t="str">
        <x:v>none</x:v>
      </x:c>
      <x:c r="E25" s="79" t="str">
        <x:v>—</x:v>
      </x:c>
      <x:c r="F25" s="79" t="str">
        <x:v>No governed route</x:v>
      </x:c>
      <x:c r="G25" s="79" t="str">
        <x:v>No placeholder or adapter claim.</x:v>
      </x:c>
      <x:c r="H25" s="79" t="str">
        <x:v>None</x:v>
      </x:c>
    </x:row>
    <x:row r="26" ht="66" customHeight="1">
      <x:c r="A26" s="73" t="str">
        <x:v>AI Assistant</x:v>
      </x:c>
      <x:c r="B26" s="73" t="str">
        <x:v>REMOVED</x:v>
      </x:c>
      <x:c r="C26" s="73" t="str">
        <x:v>—</x:v>
      </x:c>
      <x:c r="D26" s="73" t="str">
        <x:v>none</x:v>
      </x:c>
      <x:c r="E26" s="73" t="str">
        <x:v>—</x:v>
      </x:c>
      <x:c r="F26" s="73" t="str">
        <x:v>Out of MVP1</x:v>
      </x:c>
      <x:c r="G26" s="73" t="str">
        <x:v>Phase 2 AI notes do not authorize an assistant.</x:v>
      </x:c>
      <x:c r="H26" s="73" t="str">
        <x:v>None</x:v>
      </x:c>
    </x:row>
    <x:row r="27" ht="66" customHeight="1">
      <x:c r="A27" s="79" t="str">
        <x:v>AI recommendations / briefs</x:v>
      </x:c>
      <x:c r="B27" s="79" t="str">
        <x:v>REMOVED</x:v>
      </x:c>
      <x:c r="C27" s="79" t="str">
        <x:v>—</x:v>
      </x:c>
      <x:c r="D27" s="79" t="str">
        <x:v>none</x:v>
      </x:c>
      <x:c r="E27" s="79" t="str">
        <x:v>—</x:v>
      </x:c>
      <x:c r="F27" s="79" t="str">
        <x:v>Out of MVP1</x:v>
      </x:c>
      <x:c r="G27" s="79" t="str">
        <x:v>No generated insight without an approved engine and provenance.</x:v>
      </x:c>
      <x:c r="H27" s="79" t="str">
        <x:v>None</x:v>
      </x:c>
    </x:row>
  </x:sheetData>
  <x:mergeCells>
    <x:mergeCell ref="A1:H1"/>
    <x:mergeCell ref="A3:H3"/>
  </x:mergeCells>
  <x:pageMargins left="0.7" right="0.7" top="0.75" bottom="0.75" header="0.3" footer="0.3"/>
</x:worksheet>
</file>