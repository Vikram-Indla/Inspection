
<file path=[Content_Types].xml><?xml version="1.0" encoding="utf-8"?>
<Types xmlns="http://schemas.openxmlformats.org/package/2006/content-types">
  <Default Extension="xml" ContentType="application/vnd.openxmlformats-officedocument.spreadsheetml.sheet.main+xml"/>
  <Default Extension="jpg" ContentType="image/jpeg"/>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drawings/drawing1.xml" ContentType="application/vnd.openxmlformats-officedocument.drawing+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worksheets/sheet27.xml" ContentType="application/vnd.openxmlformats-officedocument.spreadsheetml.worksheet+xml"/>
  <Override PartName="/xl/drawings/drawing2.xml" ContentType="application/vnd.openxmlformats-officedocument.drawing+xml"/>
  <Override PartName="/xl/drawings/charts/chart1.xml" ContentType="application/vnd.openxmlformats-officedocument.drawingml.char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911dd29ff3ab4149" /></Relationships>
</file>

<file path=xl/workbook.xml><?xml version="1.0" encoding="utf-8"?>
<x:workbook xmlns:x="http://schemas.openxmlformats.org/spreadsheetml/2006/main">
  <x:sheets>
    <x:sheet xmlns:r="http://schemas.openxmlformats.org/officeDocument/2006/relationships" name="00_READ_ME" sheetId="1" r:id="R24286be9fec0476b"/>
    <x:sheet xmlns:r="http://schemas.openxmlformats.org/officeDocument/2006/relationships" name="01_EXECUTIVE_DIAGNOSIS" sheetId="2" r:id="Rd23e2f350dd443af"/>
    <x:sheet xmlns:r="http://schemas.openxmlformats.org/officeDocument/2006/relationships" name="02_PERSONA_REGISTER" sheetId="3" r:id="Rc5358a6157b84032"/>
    <x:sheet xmlns:r="http://schemas.openxmlformats.org/officeDocument/2006/relationships" name="03_JOURNEY_MASTER" sheetId="4" r:id="Ra6746a6b96f64902"/>
    <x:sheet xmlns:r="http://schemas.openxmlformats.org/officeDocument/2006/relationships" name="04_STEP_BY_STEP" sheetId="5" r:id="R15513ae336674dff"/>
    <x:sheet xmlns:r="http://schemas.openxmlformats.org/officeDocument/2006/relationships" name="05_VISUAL_JOURNEYS" sheetId="6" r:id="R10a93d6f27db4c8c"/>
    <x:sheet xmlns:r="http://schemas.openxmlformats.org/officeDocument/2006/relationships" name="06_SCREEN_ATLAS" sheetId="7" r:id="R588be969a2b5417c"/>
    <x:sheet xmlns:r="http://schemas.openxmlformats.org/officeDocument/2006/relationships" name="07_DATA_LINEAGE" sheetId="8" r:id="R17421d92813140ea"/>
    <x:sheet xmlns:r="http://schemas.openxmlformats.org/officeDocument/2006/relationships" name="08_ADMIN_PREREQUISITES" sheetId="9" r:id="R63629d78c94a433f"/>
    <x:sheet xmlns:r="http://schemas.openxmlformats.org/officeDocument/2006/relationships" name="09_LIFECYCLE_STATE_MATRIX" sheetId="10" r:id="Rd484ebc3a4ad489f"/>
    <x:sheet xmlns:r="http://schemas.openxmlformats.org/officeDocument/2006/relationships" name="10_PERMISSIONS_MATRIX" sheetId="11" r:id="R15d07f554155448c"/>
    <x:sheet xmlns:r="http://schemas.openxmlformats.org/officeDocument/2006/relationships" name="11_BREAKPOINT_REGISTER" sheetId="12" r:id="R404510ecddf84396"/>
    <x:sheet xmlns:r="http://schemas.openxmlformats.org/officeDocument/2006/relationships" name="12_TENSIONS_AND_BOTTLENECKS" sheetId="13" r:id="Rba2083fbc0a749ab"/>
    <x:sheet xmlns:r="http://schemas.openxmlformats.org/officeDocument/2006/relationships" name="13_MISSING_CAPABILITIES" sheetId="14" r:id="R8274bbcc726741d5"/>
    <x:sheet xmlns:r="http://schemas.openxmlformats.org/officeDocument/2006/relationships" name="14_REMEDIATION_BACKLOG" sheetId="15" r:id="Rcf3eb30a2a57492d"/>
    <x:sheet xmlns:r="http://schemas.openxmlformats.org/officeDocument/2006/relationships" name="15_SCREENSHOTS" sheetId="16" r:id="Rf34f0e0616f7464f"/>
    <x:sheet xmlns:r="http://schemas.openxmlformats.org/officeDocument/2006/relationships" name="16_COVERAGE_MATRIX" sheetId="17" r:id="R78ed896205e24cf7"/>
    <x:sheet xmlns:r="http://schemas.openxmlformats.org/officeDocument/2006/relationships" name="17_DEDUPLICATION_LOG" sheetId="18" r:id="Rb172f2555e4a4dda"/>
    <x:sheet xmlns:r="http://schemas.openxmlformats.org/officeDocument/2006/relationships" name="18_EVIDENCE_INDEX" sheetId="19" r:id="Re34ea1cfe26e44de"/>
    <x:sheet xmlns:r="http://schemas.openxmlformats.org/officeDocument/2006/relationships" name="19_OPEN_QUESTIONS" sheetId="20" r:id="Rec76328945f64c96"/>
    <x:sheet xmlns:r="http://schemas.openxmlformats.org/officeDocument/2006/relationships" name="20_COMPLETION_CERTIFICATE" sheetId="21" r:id="R2f3eef1c41f54f1d"/>
    <x:sheet xmlns:r="http://schemas.openxmlformats.org/officeDocument/2006/relationships" name="05_RULES_DECISIONS" sheetId="22" r:id="R1ee14d052c4f4d42"/>
    <x:sheet xmlns:r="http://schemas.openxmlformats.org/officeDocument/2006/relationships" name="04_FIX_PROMPTS" sheetId="23" r:id="R37417496a6e540b7"/>
    <x:sheet xmlns:r="http://schemas.openxmlformats.org/officeDocument/2006/relationships" name="03_DATA_WIRING" sheetId="24" r:id="R1b33da7523114543"/>
    <x:sheet xmlns:r="http://schemas.openxmlformats.org/officeDocument/2006/relationships" name="02_TRAINING_STEPS" sheetId="25" r:id="R3a0de9fb393d4b11"/>
    <x:sheet xmlns:r="http://schemas.openxmlformats.org/officeDocument/2006/relationships" name="01_GOLDEN_CANVAS" sheetId="26" r:id="R4ffe11ef480f4cbb"/>
    <x:sheet xmlns:r="http://schemas.openxmlformats.org/officeDocument/2006/relationships" name="00_ENTERPRISE_HOME" sheetId="27" r:id="Re49c15bddd0a45f0"/>
  </x:sheets>
</x:workbook>
</file>

<file path=xl/comments1.xml><?xml version="1.0" encoding="utf-8"?>
<x:comments xmlns:x="http://schemas.openxmlformats.org/spreadsheetml/2006/main">
  <x:authors>
    <x:author>tc={598B802D-9DBF-9434-3A8E-1AEE61E45F56}</x:author>
    <x:author>tc={8CECC3E3-7066-7CC5-FA5F-0DECB92BD768}</x:author>
    <x:author>tc={DC9E0996-67F3-7333-912D-306E470C1ACA}</x:author>
    <x:author>tc={64A2A776-EA2A-3079-4BF2-E33B1748C363}</x:author>
    <x:author>tc={FDAE10C4-E27A-4612-035B-FCB85BD8C37C}</x:author>
    <x:author>tc={BF41C8F2-A43F-CDD0-A6C7-A7EC2488012A}</x:author>
    <x:author>tc={9A24C48A-E20E-5C6E-10EA-94AE2E8F308B}</x:author>
    <x:author>tc={D2480025-66C1-A384-857D-9B5C4E797843}</x:author>
  </x:authors>
  <x:commentList>
    <x:comment ref="B5" authorId="0">
      <x:text>
        <x:r>
          <x:t>[Threaded comment]
Your version of Excel allows you to read this threaded comment; however, any edits to it will get removed if the file is opened in a newer version of Excel. Learn more: https://go.microsoft.com/fwlink/?linkid=870924
Comment:
    FIELDS: staff identity, tenant/org scope, roles, capability grants.
CRUD: Create profiles/user_roles/grants; Read effective access.
BREAK: National ID directory contract absent; inspector login failed.
FIX: FIX-001.
ASSISTANCE: approve disposable environment and credential custody.</x:t>
        </x:r>
      </x:text>
    </x:comment>
    <x:comment ref="C5" authorId="1">
      <x:text>
        <x:r>
          <x:t>[Threaded comment]
Your version of Excel allows you to read this threaded comment; however, any edits to it will get removed if the file is opened in a newer version of Excel. Learn more: https://go.microsoft.com/fwlink/?linkid=870924
Comment:
    FIELDS: regulations, package/checklist versions, workflow, effective version; execution modes/capacity/reasons only from approved policy.
CRUD: Create/Update requests and config versions; publish immutable versions.
BREAK: maker-checker and active values not runtime-proven.
FIX: FIX-002, FIX-003.</x:t>
        </x:r>
      </x:text>
    </x:comment>
    <x:comment ref="D6" authorId="2">
      <x:text>
        <x:r>
          <x:t>[Threaded comment]
Your version of Excel allows you to read this threaded comment; however, any edits to it will get removed if the file is opened in a newer version of Excel. Learn more: https://go.microsoft.com/fwlink/?linkid=870924
Comment:
    FIELDS: canonical factory/CR/licence/location, window, type, mode, package, inspector.
CRUD: Read target/config; Create plan/visit/assignment/snapshots/audit/notification.
BREAK: sparse target data; atomicity/idempotency unproven.
FIX: FIX-004, FIX-005.</x:t>
        </x:r>
      </x:text>
    </x:comment>
    <x:comment ref="E7" authorId="3">
      <x:text>
        <x:r>
          <x:t>[Threaded comment]
Your version of Excel allows you to read this threaded comment; however, any edits to it will get removed if the file is opened in a newer version of Excel. Learn more: https://go.microsoft.com/fwlink/?linkid=870924
Comment:
    FIELDS: work identity, execution date, package resolution, location and override evidence.
CRUD: Read assignment; Create/Update preparation, journey, geo and lifecycle records.
BREAK: runtime auth; 12/32 ambiguous arrival links.
FIX: FIX-001, FIX-006.</x:t>
        </x:r>
      </x:text>
    </x:comment>
    <x:comment ref="F7" authorId="4">
      <x:text>
        <x:r>
          <x:t>[Threaded comment]
Your version of Excel allows you to read this threaded comment; however, any edits to it will get removed if the file is opened in a newer version of Excel. Learn more: https://go.microsoft.com/fwlink/?linkid=870924
Comment:
    FIELDS: all configured response types, mandatory/conditional answers, evidence, findings, attestation.
CRUD: Create/Update responses/evidence/findings/violations; Create immutable submission_version.
BREAK: end-to-end and failure/recovery paths unverified; invalid approved record proves guard gap.
FIX: FIX-007.</x:t>
        </x:r>
      </x:text>
    </x:comment>
    <x:comment ref="G8" authorId="5">
      <x:text>
        <x:r>
          <x:t>[Threaded comment]
Your version of Excel allows you to read this threaded comment; however, any edits to it will get removed if the file is opened in a newer version of Excel. Learn more: https://go.microsoft.com/fwlink/?linkid=870924
Comment:
    FIELDS: latest immutable version, decision, reason, returned scope.
CRUD: Read submission/evidence; Create review; Update inspection only through guarded transition.
BREAK: approved inspection exists without version or review.
FIX: FIX-007.</x:t>
        </x:r>
      </x:text>
    </x:comment>
    <x:comment ref="H9" authorId="6">
      <x:text>
        <x:r>
          <x:t>[Threaded comment]
Your version of Excel allows you to read this threaded comment; however, any edits to it will get removed if the file is opened in a newer version of Excel. Learn more: https://go.microsoft.com/fwlink/?linkid=870924
Comment:
    FIELDS: owner identity, obligation, corrective evidence, response.
CRUD: Create/Update case response and evidence; closure receipt.
BREAK: dedicated owner route and closure invariant not found.
FIX: FIX-008.
ASSISTANCE: decide supported owner actor types.</x:t>
        </x:r>
      </x:text>
    </x:comment>
    <x:comment ref="I10" authorId="7">
      <x:text>
        <x:r>
          <x:t>[Threaded comment]
Your version of Excel allows you to read this threaded comment; however, any edits to it will get removed if the file is opened in a newer version of Excel. Learn more: https://go.microsoft.com/fwlink/?linkid=870924
Comment:
    CRUD: Create notification intents/receipts and integration attempts; Read KPI facts/config.
BREAK: preferences missing for 7/8 profiles; dashboard config empty; Senaei trigger blocked.
FIX: FIX-009, FIX-010, FIX-011.</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30">
    <x:font>
      <x:sz val="11"/>
      <x:name val="Carlito"/>
    </x:font>
    <x:font>
      <x:b/>
      <x:sz val="16"/>
      <x:color rgb="FFFFFFFF"/>
      <x:name val="Carlito"/>
    </x:font>
    <x:font>
      <x:i/>
      <x:sz val="11"/>
      <x:color rgb="FF1F2937"/>
      <x:name val="Carlito"/>
    </x:font>
    <x:font>
      <x:sz val="9"/>
      <x:name val="Carlito"/>
    </x:font>
    <x:font>
      <x:b/>
      <x:sz val="9"/>
      <x:color rgb="FFFFFFFF"/>
      <x:name val="Carlito"/>
    </x:font>
    <x:font>
      <x:b/>
      <x:sz val="11"/>
      <x:color rgb="FFFFFFFF"/>
      <x:name val="Carlito"/>
    </x:font>
    <x:font>
      <x:i/>
      <x:sz val="11"/>
      <x:name val="Carlito"/>
    </x:font>
    <x:font>
      <x:b/>
      <x:sz val="9"/>
      <x:color rgb="FFFFFFFF"/>
      <x:name val="Aptos"/>
    </x:font>
    <x:font>
      <x:sz val="9"/>
      <x:name val="Aptos"/>
    </x:font>
    <x:font>
      <x:i/>
      <x:sz val="9"/>
      <x:color rgb="FF1F2937"/>
      <x:name val="Aptos"/>
    </x:font>
    <x:font>
      <x:i/>
      <x:sz val="9"/>
      <x:name val="Aptos"/>
    </x:font>
    <x:font>
      <x:b/>
      <x:sz val="16"/>
      <x:color rgb="FFFFFFFF"/>
      <x:name val="Aptos Display"/>
    </x:font>
    <x:font>
      <x:b/>
      <x:sz val="18"/>
      <x:color rgb="FFFFFFFF"/>
      <x:name val="Aptos Display"/>
    </x:font>
    <x:font>
      <x:i/>
      <x:sz val="10"/>
      <x:color rgb="FF102A43"/>
      <x:name val="Aptos"/>
    </x:font>
    <x:font>
      <x:b/>
      <x:sz val="11"/>
      <x:name val="Carlito"/>
    </x:font>
    <x:font>
      <x:b/>
      <x:sz val="11"/>
      <x:color rgb="FFA61B1B"/>
      <x:name val="Carlito"/>
    </x:font>
    <x:font>
      <x:b/>
      <x:sz val="11"/>
      <x:color rgb="FF9A6700"/>
      <x:name val="Carlito"/>
    </x:font>
    <x:font>
      <x:b/>
      <x:sz val="11"/>
      <x:color rgb="FF52606D"/>
      <x:name val="Carlito"/>
    </x:font>
    <x:font>
      <x:i/>
      <x:sz val="11"/>
      <x:color rgb="FF52606D"/>
      <x:name val="Carlito"/>
    </x:font>
    <x:font>
      <x:b/>
      <x:sz val="16"/>
      <x:color rgb="FFA61B1B"/>
      <x:name val="Carlito"/>
    </x:font>
    <x:font>
      <x:b/>
      <x:sz val="12"/>
      <x:name val="Carlito"/>
    </x:font>
    <x:font>
      <x:b/>
      <x:sz val="11"/>
      <x:color rgb="FF5B3A8A"/>
      <x:name val="Carlito"/>
    </x:font>
    <x:font>
      <x:b/>
      <x:sz val="10"/>
      <x:color rgb="FFFFFFFF"/>
      <x:name val="Aptos"/>
    </x:font>
    <x:font>
      <x:sz val="10"/>
      <x:name val="Aptos"/>
    </x:font>
    <x:font>
      <x:b/>
      <x:sz val="10"/>
      <x:color rgb="FFA61B1B"/>
      <x:name val="Aptos"/>
    </x:font>
    <x:font>
      <x:b/>
      <x:sz val="10"/>
      <x:name val="Aptos"/>
    </x:font>
    <x:font>
      <x:b/>
      <x:sz val="10"/>
      <x:color rgb="FF5B3A8A"/>
      <x:name val="Aptos"/>
    </x:font>
    <x:font>
      <x:b/>
      <x:sz val="10"/>
      <x:color rgb="FF9A6700"/>
      <x:name val="Aptos"/>
    </x:font>
    <x:font>
      <x:i/>
      <x:sz val="10"/>
      <x:color rgb="FF52606D"/>
      <x:name val="Aptos"/>
    </x:font>
    <x:font>
      <x:b/>
      <x:sz val="10"/>
      <x:color rgb="FF52606D"/>
      <x:name val="Aptos"/>
    </x:font>
  </x:fonts>
  <x:fills count="16">
    <x:fill>
      <x:patternFill patternType="none"/>
    </x:fill>
    <x:fill>
      <x:patternFill patternType="gray125"/>
    </x:fill>
    <x:fill>
      <x:patternFill patternType="solid">
        <x:fgColor rgb="FF16324F"/>
      </x:patternFill>
    </x:fill>
    <x:fill>
      <x:patternFill patternType="solid">
        <x:fgColor rgb="FFEAF0F5"/>
      </x:patternFill>
    </x:fill>
    <x:fill>
      <x:patternFill patternType="solid">
        <x:fgColor rgb="FF2E5B88"/>
      </x:patternFill>
    </x:fill>
    <x:fill>
      <x:patternFill patternType="solid">
        <x:fgColor rgb="FFE5E7EB"/>
      </x:patternFill>
    </x:fill>
    <x:fill>
      <x:patternFill patternType="solid">
        <x:fgColor rgb="FFF8D7DA"/>
      </x:patternFill>
    </x:fill>
    <x:fill>
      <x:patternFill patternType="solid">
        <x:fgColor rgb="FFFFF1C7"/>
      </x:patternFill>
    </x:fill>
    <x:fill>
      <x:patternFill patternType="solid">
        <x:fgColor rgb="FF102A43"/>
      </x:patternFill>
    </x:fill>
    <x:fill>
      <x:patternFill patternType="solid">
        <x:fgColor rgb="FFD9EFF7"/>
      </x:patternFill>
    </x:fill>
    <x:fill>
      <x:patternFill patternType="solid">
        <x:fgColor rgb="FF1D4E89"/>
      </x:patternFill>
    </x:fill>
    <x:fill>
      <x:patternFill patternType="solid">
        <x:fgColor rgb="FFF8D7DA"/>
      </x:patternFill>
    </x:fill>
    <x:fill>
      <x:patternFill patternType="solid">
        <x:fgColor rgb="FFFFF0C2"/>
      </x:patternFill>
    </x:fill>
    <x:fill>
      <x:patternFill patternType="solid">
        <x:fgColor rgb="FFE9EEF3"/>
      </x:patternFill>
    </x:fill>
    <x:fill>
      <x:patternFill patternType="solid">
        <x:fgColor rgb="FFA61B1B"/>
      </x:patternFill>
    </x:fill>
    <x:fill>
      <x:patternFill patternType="solid">
        <x:fgColor rgb="FFE9E1F8"/>
      </x:patternFill>
    </x:fill>
  </x:fills>
  <x:borders count="16">
    <x:border/>
    <x:border>
      <x:left style="thin">
        <x:color rgb="FFD1D5DB"/>
      </x:left>
      <x:right style="thin">
        <x:color rgb="FFD1D5DB"/>
      </x:right>
      <x:top style="thin">
        <x:color rgb="FFD1D5DB"/>
      </x:top>
      <x:bottom style="thin">
        <x:color rgb="FFD1D5DB"/>
      </x:bottom>
    </x:border>
    <x:border>
      <x:left style="thin">
        <x:color rgb="FF9CA3AF"/>
      </x:left>
      <x:right style="thin">
        <x:color rgb="FF9CA3AF"/>
      </x:right>
      <x:top style="thin">
        <x:color rgb="FF9CA3AF"/>
      </x:top>
      <x:bottom style="thin">
        <x:color rgb="FF9CA3AF"/>
      </x:bottom>
    </x:border>
    <x:border>
      <x:left style="thin">
        <x:color rgb="FFCBD5E1"/>
      </x:left>
      <x:right style="thin">
        <x:color rgb="FFCBD5E1"/>
      </x:right>
      <x:top style="thin">
        <x:color rgb="FFCBD5E1"/>
      </x:top>
      <x:bottom style="thin">
        <x:color rgb="FFCBD5E1"/>
      </x:bottom>
    </x:border>
    <x:border>
      <x:left style="medium">
        <x:color rgb="FFA61B1B"/>
      </x:left>
      <x:right style="medium">
        <x:color rgb="FFA61B1B"/>
      </x:right>
      <x:top style="medium">
        <x:color rgb="FFA61B1B"/>
      </x:top>
      <x:bottom style="medium">
        <x:color rgb="FFA61B1B"/>
      </x:bottom>
    </x:border>
    <x:border>
      <x:left style="medium">
        <x:color rgb="FF9A6700"/>
      </x:left>
      <x:right style="medium">
        <x:color rgb="FF9A6700"/>
      </x:right>
      <x:top style="medium">
        <x:color rgb="FF9A6700"/>
      </x:top>
      <x:bottom style="medium">
        <x:color rgb="FF9A6700"/>
      </x:bottom>
    </x:border>
    <x:border>
      <x:left style="medium">
        <x:color rgb="FF52606D"/>
      </x:left>
      <x:right style="medium">
        <x:color rgb="FF52606D"/>
      </x:right>
      <x:top style="medium">
        <x:color rgb="FF52606D"/>
      </x:top>
      <x:bottom style="medium">
        <x:color rgb="FF52606D"/>
      </x:bottom>
    </x:border>
    <x:border>
      <x:left style="medium">
        <x:color rgb="FFA61B1B"/>
      </x:left>
      <x:top style="medium">
        <x:color rgb="FFA61B1B"/>
      </x:top>
    </x:border>
    <x:border>
      <x:top style="medium">
        <x:color rgb="FFA61B1B"/>
      </x:top>
    </x:border>
    <x:border>
      <x:right style="medium">
        <x:color rgb="FFA61B1B"/>
      </x:right>
      <x:top style="medium">
        <x:color rgb="FFA61B1B"/>
      </x:top>
    </x:border>
    <x:border>
      <x:left style="medium">
        <x:color rgb="FFA61B1B"/>
      </x:left>
    </x:border>
    <x:border>
      <x:right style="medium">
        <x:color rgb="FFA61B1B"/>
      </x:right>
    </x:border>
    <x:border>
      <x:left style="medium">
        <x:color rgb="FFA61B1B"/>
      </x:left>
      <x:bottom style="medium">
        <x:color rgb="FFA61B1B"/>
      </x:bottom>
    </x:border>
    <x:border>
      <x:bottom style="medium">
        <x:color rgb="FFA61B1B"/>
      </x:bottom>
    </x:border>
    <x:border>
      <x:right style="medium">
        <x:color rgb="FFA61B1B"/>
      </x:right>
      <x:bottom style="medium">
        <x:color rgb="FFA61B1B"/>
      </x:bottom>
    </x:border>
    <x:border>
      <x:left style="thin">
        <x:color rgb="FF9A6700"/>
      </x:left>
      <x:right style="thin">
        <x:color rgb="FF9A6700"/>
      </x:right>
      <x:top style="thin">
        <x:color rgb="FF9A6700"/>
      </x:top>
      <x:bottom style="thin">
        <x:color rgb="FF9A6700"/>
      </x:bottom>
    </x:border>
  </x:borders>
  <x:cellStyleXfs count="1">
    <x:xf numFmtId="0" fontId="0" fillId="0" borderId="0"/>
  </x:cellStyleXfs>
  <x:cellXfs count="15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3" fillId="0" borderId="0" xfId="0" applyNumberFormat="1" applyFont="1" applyFill="1" applyBorder="1"/>
    <x:xf numFmtId="0" fontId="3" fillId="0" borderId="1" xfId="0" applyNumberFormat="1" applyFont="1" applyFill="1" applyBorder="1"/>
    <x:xf numFmtId="0" fontId="3" fillId="0" borderId="1" xfId="0" applyNumberFormat="1" applyFont="1" applyFill="1" applyBorder="1" applyAlignment="1">
      <x:alignment wrapText="1"/>
    </x:xf>
    <x:xf numFmtId="0" fontId="3" fillId="0" borderId="1" xfId="0" applyNumberFormat="1" applyFont="1" applyFill="1" applyBorder="1" applyAlignment="1">
      <x:alignment vertical="top" wrapText="1"/>
    </x:xf>
    <x:xf numFmtId="0" fontId="3" fillId="4" borderId="1" xfId="0" applyNumberFormat="1" applyFont="1" applyFill="1" applyBorder="1" applyAlignment="1">
      <x:alignment vertical="top" wrapText="1"/>
    </x:xf>
    <x:xf numFmtId="0" fontId="4" fillId="4" borderId="1" xfId="0" applyNumberFormat="1" applyFont="1" applyFill="1" applyBorder="1" applyAlignment="1">
      <x:alignment vertical="top" wrapText="1"/>
    </x:xf>
    <x:xf numFmtId="0" fontId="1" fillId="2" borderId="0" xfId="0" applyNumberFormat="1" applyFont="1" applyFill="1" applyBorder="1" applyAlignment="1">
      <x:alignment horizontal="center"/>
    </x:xf>
    <x:xf numFmtId="0" fontId="0"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wrapText="1"/>
    </x:xf>
    <x:xf numFmtId="0" fontId="0" fillId="0" borderId="2" xfId="0" applyNumberFormat="1" applyFont="1" applyFill="1" applyBorder="1"/>
    <x:xf numFmtId="0" fontId="0" fillId="0" borderId="2" xfId="0" applyNumberFormat="1" applyFont="1" applyFill="1" applyBorder="1" applyAlignment="1">
      <x:alignment wrapText="1"/>
    </x:xf>
    <x:xf numFmtId="0" fontId="0" fillId="0" borderId="2" xfId="0" applyNumberFormat="1" applyFont="1" applyFill="1" applyBorder="1" applyAlignment="1">
      <x:alignment horizontal="center" wrapText="1"/>
    </x:xf>
    <x:xf numFmtId="0" fontId="0" fillId="0" borderId="2" xfId="0" applyNumberFormat="1" applyFont="1" applyFill="1" applyBorder="1" applyAlignment="1">
      <x:alignment horizontal="center" vertical="center" wrapText="1"/>
    </x:xf>
    <x:xf numFmtId="0" fontId="0" fillId="5" borderId="2" xfId="0" applyNumberFormat="1" applyFont="1" applyFill="1" applyBorder="1" applyAlignment="1">
      <x:alignment horizontal="center" vertical="center" wrapText="1"/>
    </x:xf>
    <x:xf numFmtId="0" fontId="0" fillId="6" borderId="2" xfId="0" applyNumberFormat="1" applyFont="1" applyFill="1" applyBorder="1" applyAlignment="1">
      <x:alignment horizontal="center" vertical="center" wrapText="1"/>
    </x:xf>
    <x:xf numFmtId="0" fontId="0" fillId="7" borderId="2" xfId="0" applyNumberFormat="1" applyFont="1" applyFill="1" applyBorder="1" applyAlignment="1">
      <x:alignment horizontal="center" vertical="center" wrapText="1"/>
    </x:xf>
    <x:xf numFmtId="0" fontId="6" fillId="3" borderId="0" xfId="0" applyNumberFormat="1" applyFont="1" applyFill="1" applyBorder="1"/>
    <x:xf numFmtId="0" fontId="7" fillId="2" borderId="0" xfId="0" applyNumberFormat="1" applyFont="1" applyFill="1" applyBorder="1" applyAlignment="1">
      <x:alignment vertical="center"/>
    </x:xf>
    <x:xf numFmtId="0" fontId="8" fillId="0" borderId="0" xfId="0" applyNumberFormat="1" applyFont="1" applyFill="1" applyBorder="1"/>
    <x:xf numFmtId="0" fontId="9" fillId="3" borderId="0" xfId="0" applyNumberFormat="1" applyFont="1" applyFill="1" applyBorder="1"/>
    <x:xf numFmtId="0" fontId="7" fillId="4" borderId="1" xfId="0" applyNumberFormat="1" applyFont="1" applyFill="1" applyBorder="1" applyAlignment="1">
      <x:alignment vertical="top" wrapText="1"/>
    </x:xf>
    <x:xf numFmtId="0" fontId="8" fillId="0" borderId="1" xfId="0" applyNumberFormat="1" applyFont="1" applyFill="1" applyBorder="1" applyAlignment="1">
      <x:alignment vertical="top" wrapText="1"/>
    </x:xf>
    <x:xf numFmtId="0" fontId="7" fillId="2" borderId="0" xfId="0" applyNumberFormat="1" applyFont="1" applyFill="1" applyBorder="1" applyAlignment="1">
      <x:alignment horizontal="center"/>
    </x:xf>
    <x:xf numFmtId="0" fontId="7" fillId="4" borderId="0" xfId="0" applyNumberFormat="1" applyFont="1" applyFill="1" applyBorder="1" applyAlignment="1">
      <x:alignment wrapText="1"/>
    </x:xf>
    <x:xf numFmtId="0" fontId="8" fillId="6" borderId="2" xfId="0" applyNumberFormat="1" applyFont="1" applyFill="1" applyBorder="1" applyAlignment="1">
      <x:alignment horizontal="center" vertical="center" wrapText="1"/>
    </x:xf>
    <x:xf numFmtId="0" fontId="8" fillId="0" borderId="2" xfId="0" applyNumberFormat="1" applyFont="1" applyFill="1" applyBorder="1" applyAlignment="1">
      <x:alignment horizontal="center" vertical="center" wrapText="1"/>
    </x:xf>
    <x:xf numFmtId="0" fontId="8" fillId="7" borderId="2" xfId="0" applyNumberFormat="1" applyFont="1" applyFill="1" applyBorder="1" applyAlignment="1">
      <x:alignment horizontal="center" vertical="center" wrapText="1"/>
    </x:xf>
    <x:xf numFmtId="0" fontId="10" fillId="3" borderId="0" xfId="0" applyNumberFormat="1" applyFont="1" applyFill="1" applyBorder="1"/>
    <x:xf numFmtId="0" fontId="11" fillId="2" borderId="0" xfId="0" applyNumberFormat="1" applyFont="1" applyFill="1" applyBorder="1" applyAlignment="1">
      <x:alignment vertical="center"/>
    </x:xf>
    <x:xf numFmtId="0" fontId="11" fillId="0" borderId="0" xfId="0" applyNumberFormat="1" applyFont="1" applyFill="1" applyBorder="1"/>
    <x:xf numFmtId="0" fontId="0" fillId="8" borderId="0" xfId="0" applyNumberFormat="1" applyFont="1" applyFill="1" applyBorder="1"/>
    <x:xf numFmtId="0" fontId="12" fillId="8" borderId="0" xfId="0" applyNumberFormat="1" applyFont="1" applyFill="1" applyBorder="1"/>
    <x:xf numFmtId="0" fontId="12" fillId="8" borderId="0" xfId="0" applyNumberFormat="1" applyFont="1" applyFill="1" applyBorder="1" applyAlignment="1">
      <x:alignment vertical="center"/>
    </x:xf>
    <x:xf numFmtId="0" fontId="0" fillId="9" borderId="0" xfId="0" applyNumberFormat="1" applyFont="1" applyFill="1" applyBorder="1"/>
    <x:xf numFmtId="0" fontId="13" fillId="9" borderId="0" xfId="0" applyNumberFormat="1" applyFont="1" applyFill="1" applyBorder="1"/>
    <x:xf numFmtId="0" fontId="13" fillId="9" borderId="0" xfId="0" applyNumberFormat="1" applyFont="1" applyFill="1" applyBorder="1" applyAlignment="1">
      <x:alignment vertical="center"/>
    </x:xf>
    <x:xf numFmtId="0" fontId="0" fillId="0" borderId="3" xfId="0" applyNumberFormat="1" applyFont="1" applyFill="1" applyBorder="1"/>
    <x:xf numFmtId="0" fontId="0" fillId="10" borderId="3" xfId="0" applyNumberFormat="1" applyFont="1" applyFill="1" applyBorder="1"/>
    <x:xf numFmtId="0" fontId="5" fillId="10" borderId="3" xfId="0" applyNumberFormat="1" applyFont="1" applyFill="1" applyBorder="1"/>
    <x:xf numFmtId="0" fontId="0" fillId="0" borderId="3" xfId="0" applyNumberFormat="1" applyFont="1" applyFill="1" applyBorder="1" applyAlignment="1">
      <x:alignment wrapText="1"/>
    </x:xf>
    <x:xf numFmtId="0" fontId="0" fillId="0" borderId="3" xfId="0" applyNumberFormat="1" applyFont="1" applyFill="1" applyBorder="1" applyAlignment="1">
      <x:alignment vertical="top" wrapText="1"/>
    </x:xf>
    <x:xf numFmtId="0" fontId="5" fillId="10" borderId="3" xfId="0" applyNumberFormat="1" applyFont="1" applyFill="1" applyBorder="1" applyAlignment="1">
      <x:alignment wrapText="1"/>
    </x:xf>
    <x:xf numFmtId="0" fontId="5" fillId="10" borderId="3" xfId="0" applyNumberFormat="1" applyFont="1" applyFill="1" applyBorder="1" applyAlignment="1">
      <x:alignment horizontal="center" wrapText="1"/>
    </x:xf>
    <x:xf numFmtId="0" fontId="0" fillId="8" borderId="3" xfId="0" applyNumberFormat="1" applyFont="1" applyFill="1" applyBorder="1"/>
    <x:xf numFmtId="0" fontId="5" fillId="8" borderId="3" xfId="0" applyNumberFormat="1" applyFont="1" applyFill="1" applyBorder="1"/>
    <x:xf numFmtId="0" fontId="5" fillId="8" borderId="3" xfId="0" applyNumberFormat="1" applyFont="1" applyFill="1" applyBorder="1" applyAlignment="1">
      <x:alignment vertical="center"/>
    </x:xf>
    <x:xf numFmtId="0" fontId="14" fillId="0" borderId="3" xfId="0" applyNumberFormat="1" applyFont="1" applyFill="1" applyBorder="1"/>
    <x:xf numFmtId="0" fontId="14" fillId="0" borderId="3" xfId="0" applyNumberFormat="1" applyFont="1" applyFill="1" applyBorder="1" applyAlignment="1">
      <x:alignment wrapText="1"/>
    </x:xf>
    <x:xf numFmtId="0" fontId="14" fillId="0" borderId="3" xfId="0" applyNumberFormat="1" applyFont="1" applyFill="1" applyBorder="1" applyAlignment="1">
      <x:alignment horizontal="center" wrapText="1"/>
    </x:xf>
    <x:xf numFmtId="0" fontId="14" fillId="0" borderId="3" xfId="0" applyNumberFormat="1" applyFont="1" applyFill="1" applyBorder="1" applyAlignment="1">
      <x:alignment horizontal="center" vertical="center" wrapText="1"/>
    </x:xf>
    <x:xf numFmtId="0" fontId="14" fillId="11" borderId="3" xfId="0" applyNumberFormat="1" applyFont="1" applyFill="1" applyBorder="1" applyAlignment="1">
      <x:alignment horizontal="center" vertical="center" wrapText="1"/>
    </x:xf>
    <x:xf numFmtId="0" fontId="15" fillId="11" borderId="3" xfId="0" applyNumberFormat="1" applyFont="1" applyFill="1" applyBorder="1" applyAlignment="1">
      <x:alignment horizontal="center" vertical="center" wrapText="1"/>
    </x:xf>
    <x:xf numFmtId="0" fontId="15" fillId="11" borderId="4" xfId="0" applyNumberFormat="1" applyFont="1" applyFill="1" applyBorder="1" applyAlignment="1">
      <x:alignment horizontal="center" vertical="center" wrapText="1"/>
    </x:xf>
    <x:xf numFmtId="0" fontId="14" fillId="12" borderId="3" xfId="0" applyNumberFormat="1" applyFont="1" applyFill="1" applyBorder="1" applyAlignment="1">
      <x:alignment horizontal="center" vertical="center" wrapText="1"/>
    </x:xf>
    <x:xf numFmtId="0" fontId="16" fillId="12" borderId="3" xfId="0" applyNumberFormat="1" applyFont="1" applyFill="1" applyBorder="1" applyAlignment="1">
      <x:alignment horizontal="center" vertical="center" wrapText="1"/>
    </x:xf>
    <x:xf numFmtId="0" fontId="16" fillId="12" borderId="5" xfId="0" applyNumberFormat="1" applyFont="1" applyFill="1" applyBorder="1" applyAlignment="1">
      <x:alignment horizontal="center" vertical="center" wrapText="1"/>
    </x:xf>
    <x:xf numFmtId="0" fontId="14" fillId="13" borderId="3" xfId="0" applyNumberFormat="1" applyFont="1" applyFill="1" applyBorder="1" applyAlignment="1">
      <x:alignment horizontal="center" vertical="center" wrapText="1"/>
    </x:xf>
    <x:xf numFmtId="0" fontId="17" fillId="13" borderId="3" xfId="0" applyNumberFormat="1" applyFont="1" applyFill="1" applyBorder="1" applyAlignment="1">
      <x:alignment horizontal="center" vertical="center" wrapText="1"/>
    </x:xf>
    <x:xf numFmtId="0" fontId="17" fillId="13" borderId="6" xfId="0" applyNumberFormat="1" applyFont="1" applyFill="1" applyBorder="1" applyAlignment="1">
      <x:alignment horizontal="center" vertical="center" wrapText="1"/>
    </x:xf>
    <x:xf numFmtId="0" fontId="0" fillId="13" borderId="0" xfId="0" applyNumberFormat="1" applyFont="1" applyFill="1" applyBorder="1"/>
    <x:xf numFmtId="0" fontId="18" fillId="13" borderId="0" xfId="0" applyNumberFormat="1" applyFont="1" applyFill="1" applyBorder="1"/>
    <x:xf numFmtId="0" fontId="18" fillId="13" borderId="0" xfId="0" applyNumberFormat="1" applyFont="1" applyFill="1" applyBorder="1" applyAlignment="1">
      <x:alignment horizontal="center"/>
    </x:xf>
    <x:xf numFmtId="0" fontId="0" fillId="14" borderId="0" xfId="0" applyNumberFormat="1" applyFont="1" applyFill="1" applyBorder="1"/>
    <x:xf numFmtId="0" fontId="5" fillId="14" borderId="0" xfId="0" applyNumberFormat="1" applyFont="1" applyFill="1" applyBorder="1"/>
    <x:xf numFmtId="0" fontId="5" fillId="14" borderId="0" xfId="0" applyNumberFormat="1" applyFont="1" applyFill="1" applyBorder="1" applyAlignment="1">
      <x:alignment horizontal="center"/>
    </x:xf>
    <x:xf numFmtId="0" fontId="0" fillId="11" borderId="0" xfId="0" applyNumberFormat="1" applyFont="1" applyFill="1" applyBorder="1"/>
    <x:xf numFmtId="0" fontId="19" fillId="11" borderId="0" xfId="0" applyNumberFormat="1" applyFont="1" applyFill="1" applyBorder="1"/>
    <x:xf numFmtId="0" fontId="19" fillId="11" borderId="7" xfId="0" applyNumberFormat="1" applyFont="1" applyFill="1" applyBorder="1"/>
    <x:xf numFmtId="0" fontId="19" fillId="11" borderId="8" xfId="0" applyNumberFormat="1" applyFont="1" applyFill="1" applyBorder="1"/>
    <x:xf numFmtId="0" fontId="19" fillId="11" borderId="9" xfId="0" applyNumberFormat="1" applyFont="1" applyFill="1" applyBorder="1"/>
    <x:xf numFmtId="0" fontId="19" fillId="11" borderId="10" xfId="0" applyNumberFormat="1" applyFont="1" applyFill="1" applyBorder="1"/>
    <x:xf numFmtId="0" fontId="19" fillId="11" xfId="0" applyNumberFormat="1" applyFont="1" applyFill="1" applyBorder="0"/>
    <x:xf numFmtId="0" fontId="19" fillId="11" borderId="11" xfId="0" applyNumberFormat="1" applyFont="1" applyFill="1" applyBorder="1"/>
    <x:xf numFmtId="0" fontId="19" fillId="11" borderId="12" xfId="0" applyNumberFormat="1" applyFont="1" applyFill="1" applyBorder="1"/>
    <x:xf numFmtId="0" fontId="19" fillId="11" borderId="13" xfId="0" applyNumberFormat="1" applyFont="1" applyFill="1" applyBorder="1"/>
    <x:xf numFmtId="0" fontId="19" fillId="11" borderId="14" xfId="0" applyNumberFormat="1" applyFont="1" applyFill="1" applyBorder="1"/>
    <x:xf numFmtId="0" fontId="19" fillId="11" borderId="7" xfId="0" applyNumberFormat="1" applyFont="1" applyFill="1" applyBorder="1" applyAlignment="1">
      <x:alignment wrapText="1"/>
    </x:xf>
    <x:xf numFmtId="0" fontId="19" fillId="11" borderId="8" xfId="0" applyNumberFormat="1" applyFont="1" applyFill="1" applyBorder="1" applyAlignment="1">
      <x:alignment wrapText="1"/>
    </x:xf>
    <x:xf numFmtId="0" fontId="19" fillId="11" borderId="9" xfId="0" applyNumberFormat="1" applyFont="1" applyFill="1" applyBorder="1" applyAlignment="1">
      <x:alignment wrapText="1"/>
    </x:xf>
    <x:xf numFmtId="0" fontId="19" fillId="11" borderId="10" xfId="0" applyNumberFormat="1" applyFont="1" applyFill="1" applyBorder="1" applyAlignment="1">
      <x:alignment wrapText="1"/>
    </x:xf>
    <x:xf numFmtId="0" fontId="19" fillId="11" xfId="0" applyNumberFormat="1" applyFont="1" applyFill="1" applyBorder="0" applyAlignment="1">
      <x:alignment wrapText="1"/>
    </x:xf>
    <x:xf numFmtId="0" fontId="19" fillId="11" borderId="11" xfId="0" applyNumberFormat="1" applyFont="1" applyFill="1" applyBorder="1" applyAlignment="1">
      <x:alignment wrapText="1"/>
    </x:xf>
    <x:xf numFmtId="0" fontId="19" fillId="11" borderId="12" xfId="0" applyNumberFormat="1" applyFont="1" applyFill="1" applyBorder="1" applyAlignment="1">
      <x:alignment wrapText="1"/>
    </x:xf>
    <x:xf numFmtId="0" fontId="19" fillId="11" borderId="13" xfId="0" applyNumberFormat="1" applyFont="1" applyFill="1" applyBorder="1" applyAlignment="1">
      <x:alignment wrapText="1"/>
    </x:xf>
    <x:xf numFmtId="0" fontId="19" fillId="11" borderId="14" xfId="0" applyNumberFormat="1" applyFont="1" applyFill="1" applyBorder="1" applyAlignment="1">
      <x:alignment wrapText="1"/>
    </x:xf>
    <x:xf numFmtId="0" fontId="19" fillId="11" borderId="7" xfId="0" applyNumberFormat="1" applyFont="1" applyFill="1" applyBorder="1" applyAlignment="1">
      <x:alignment horizontal="center" wrapText="1"/>
    </x:xf>
    <x:xf numFmtId="0" fontId="19" fillId="11" borderId="8" xfId="0" applyNumberFormat="1" applyFont="1" applyFill="1" applyBorder="1" applyAlignment="1">
      <x:alignment horizontal="center" wrapText="1"/>
    </x:xf>
    <x:xf numFmtId="0" fontId="19" fillId="11" borderId="9" xfId="0" applyNumberFormat="1" applyFont="1" applyFill="1" applyBorder="1" applyAlignment="1">
      <x:alignment horizontal="center" wrapText="1"/>
    </x:xf>
    <x:xf numFmtId="0" fontId="19" fillId="11" borderId="10" xfId="0" applyNumberFormat="1" applyFont="1" applyFill="1" applyBorder="1" applyAlignment="1">
      <x:alignment horizontal="center" wrapText="1"/>
    </x:xf>
    <x:xf numFmtId="0" fontId="19" fillId="11" xfId="0" applyNumberFormat="1" applyFont="1" applyFill="1" applyBorder="0" applyAlignment="1">
      <x:alignment horizontal="center" wrapText="1"/>
    </x:xf>
    <x:xf numFmtId="0" fontId="19" fillId="11" borderId="11" xfId="0" applyNumberFormat="1" applyFont="1" applyFill="1" applyBorder="1" applyAlignment="1">
      <x:alignment horizontal="center" wrapText="1"/>
    </x:xf>
    <x:xf numFmtId="0" fontId="19" fillId="11" borderId="12" xfId="0" applyNumberFormat="1" applyFont="1" applyFill="1" applyBorder="1" applyAlignment="1">
      <x:alignment horizontal="center" wrapText="1"/>
    </x:xf>
    <x:xf numFmtId="0" fontId="19" fillId="11" borderId="13" xfId="0" applyNumberFormat="1" applyFont="1" applyFill="1" applyBorder="1" applyAlignment="1">
      <x:alignment horizontal="center" wrapText="1"/>
    </x:xf>
    <x:xf numFmtId="0" fontId="19" fillId="11" borderId="14" xfId="0" applyNumberFormat="1" applyFont="1" applyFill="1" applyBorder="1" applyAlignment="1">
      <x:alignment horizontal="center" wrapText="1"/>
    </x:xf>
    <x:xf numFmtId="0" fontId="19" fillId="11" borderId="7" xfId="0" applyNumberFormat="1" applyFont="1" applyFill="1" applyBorder="1" applyAlignment="1">
      <x:alignment horizontal="center" vertical="center" wrapText="1"/>
    </x:xf>
    <x:xf numFmtId="0" fontId="19" fillId="11" borderId="8" xfId="0" applyNumberFormat="1" applyFont="1" applyFill="1" applyBorder="1" applyAlignment="1">
      <x:alignment horizontal="center" vertical="center" wrapText="1"/>
    </x:xf>
    <x:xf numFmtId="0" fontId="19" fillId="11" borderId="9" xfId="0" applyNumberFormat="1" applyFont="1" applyFill="1" applyBorder="1" applyAlignment="1">
      <x:alignment horizontal="center" vertical="center" wrapText="1"/>
    </x:xf>
    <x:xf numFmtId="0" fontId="19" fillId="11" borderId="10" xfId="0" applyNumberFormat="1" applyFont="1" applyFill="1" applyBorder="1" applyAlignment="1">
      <x:alignment horizontal="center" vertical="center" wrapText="1"/>
    </x:xf>
    <x:xf numFmtId="0" fontId="19" fillId="11" xfId="0" applyNumberFormat="1" applyFont="1" applyFill="1" applyBorder="0" applyAlignment="1">
      <x:alignment horizontal="center" vertical="center" wrapText="1"/>
    </x:xf>
    <x:xf numFmtId="0" fontId="19" fillId="11" borderId="11" xfId="0" applyNumberFormat="1" applyFont="1" applyFill="1" applyBorder="1" applyAlignment="1">
      <x:alignment horizontal="center" vertical="center" wrapText="1"/>
    </x:xf>
    <x:xf numFmtId="0" fontId="19" fillId="11" borderId="12" xfId="0" applyNumberFormat="1" applyFont="1" applyFill="1" applyBorder="1" applyAlignment="1">
      <x:alignment horizontal="center" vertical="center" wrapText="1"/>
    </x:xf>
    <x:xf numFmtId="0" fontId="19" fillId="11" borderId="13" xfId="0" applyNumberFormat="1" applyFont="1" applyFill="1" applyBorder="1" applyAlignment="1">
      <x:alignment horizontal="center" vertical="center" wrapText="1"/>
    </x:xf>
    <x:xf numFmtId="0" fontId="19" fillId="11" borderId="14" xfId="0" applyNumberFormat="1" applyFont="1" applyFill="1" applyBorder="1" applyAlignment="1">
      <x:alignment horizontal="center" vertical="center" wrapText="1"/>
    </x:xf>
    <x:xf numFmtId="0" fontId="0" fillId="10" borderId="0" xfId="0" applyNumberFormat="1" applyFont="1" applyFill="1" applyBorder="1"/>
    <x:xf numFmtId="0" fontId="5" fillId="10" borderId="0" xfId="0" applyNumberFormat="1" applyFont="1" applyFill="1" applyBorder="1"/>
    <x:xf numFmtId="0" fontId="5" fillId="10" borderId="0" xfId="0" applyNumberFormat="1" applyFont="1" applyFill="1" applyBorder="1" applyAlignment="1">
      <x:alignment wrapText="1"/>
    </x:xf>
    <x:xf numFmtId="0" fontId="5" fillId="10" borderId="0" xfId="0" applyNumberFormat="1" applyFont="1" applyFill="1" applyBorder="1" applyAlignment="1">
      <x:alignment horizontal="center" wrapText="1"/>
    </x:xf>
    <x:xf numFmtId="0" fontId="20" fillId="0" borderId="0" xfId="0" applyNumberFormat="1" applyFont="1" applyFill="1" applyBorder="1"/>
    <x:xf numFmtId="0" fontId="20" fillId="0" borderId="3" xfId="0" applyNumberFormat="1" applyFont="1" applyFill="1" applyBorder="1"/>
    <x:xf numFmtId="0" fontId="20" fillId="0" borderId="3" xfId="0" applyNumberFormat="1" applyFont="1" applyFill="1" applyBorder="1" applyAlignment="1">
      <x:alignment horizontal="center"/>
    </x:xf>
    <x:xf numFmtId="200" fontId="20" fillId="0" borderId="3" xfId="0" applyNumberFormat="1" applyFont="1" applyFill="1" applyBorder="1" applyAlignment="1">
      <x:alignment horizontal="center"/>
    </x:xf>
    <x:xf numFmtId="0" fontId="5" fillId="8" borderId="0" xfId="0" applyNumberFormat="1" applyFont="1" applyFill="1" applyBorder="1"/>
    <x:xf numFmtId="0" fontId="5" fillId="8" borderId="0" xfId="0" applyNumberFormat="1" applyFont="1" applyFill="1" applyBorder="1" applyAlignment="1">
      <x:alignment horizontal="center"/>
    </x:xf>
    <x:xf numFmtId="0" fontId="0" fillId="9" borderId="0" xfId="0" applyNumberFormat="1" applyFont="1" applyFill="1" applyBorder="1" applyAlignment="1">
      <x:alignment wrapText="1"/>
    </x:xf>
    <x:xf numFmtId="0" fontId="0" fillId="9" borderId="3" xfId="0" applyNumberFormat="1" applyFont="1" applyFill="1" applyBorder="1" applyAlignment="1">
      <x:alignment wrapText="1"/>
    </x:xf>
    <x:xf numFmtId="0" fontId="5" fillId="15" borderId="0" xfId="0" applyNumberFormat="1" applyFont="1" applyFill="1" applyBorder="1" applyAlignment="1">
      <x:alignment horizontal="center"/>
    </x:xf>
    <x:xf numFmtId="0" fontId="21" fillId="15" borderId="0" xfId="0" applyNumberFormat="1" applyFont="1" applyFill="1" applyBorder="1" applyAlignment="1">
      <x:alignment horizontal="center"/>
    </x:xf>
    <x:xf numFmtId="0" fontId="0" fillId="12" borderId="0" xfId="0" applyNumberFormat="1" applyFont="1" applyFill="1" applyBorder="1"/>
    <x:xf numFmtId="0" fontId="16" fillId="12" borderId="0" xfId="0" applyNumberFormat="1" applyFont="1" applyFill="1" applyBorder="1"/>
    <x:xf numFmtId="0" fontId="16" fillId="12" borderId="15" xfId="0" applyNumberFormat="1" applyFont="1" applyFill="1" applyBorder="1"/>
    <x:xf numFmtId="0" fontId="16" fillId="12" borderId="15" xfId="0" applyNumberFormat="1" applyFont="1" applyFill="1" applyBorder="1" applyAlignment="1">
      <x:alignment wrapText="1"/>
    </x:xf>
    <x:xf numFmtId="200" fontId="0" fillId="0" borderId="0" xfId="0" applyNumberFormat="1" applyFont="1" applyFill="1" applyBorder="1"/>
    <x:xf numFmtId="0" fontId="22" fillId="8" borderId="0" xfId="0" applyNumberFormat="1" applyFont="1" applyFill="1" applyBorder="1" applyAlignment="1">
      <x:alignment vertical="center"/>
    </x:xf>
    <x:xf numFmtId="0" fontId="23" fillId="0" borderId="0" xfId="0" applyNumberFormat="1" applyFont="1" applyFill="1" applyBorder="1"/>
    <x:xf numFmtId="0" fontId="22" fillId="14" borderId="0" xfId="0" applyNumberFormat="1" applyFont="1" applyFill="1" applyBorder="1" applyAlignment="1">
      <x:alignment horizontal="center"/>
    </x:xf>
    <x:xf numFmtId="0" fontId="22" fillId="10" borderId="0" xfId="0" applyNumberFormat="1" applyFont="1" applyFill="1" applyBorder="1" applyAlignment="1">
      <x:alignment horizontal="center" wrapText="1"/>
    </x:xf>
    <x:xf numFmtId="200" fontId="23" fillId="0" borderId="0" xfId="0" applyNumberFormat="1" applyFont="1" applyFill="1" applyBorder="1"/>
    <x:xf numFmtId="0" fontId="24" fillId="11" borderId="7" xfId="0" applyNumberFormat="1" applyFont="1" applyFill="1" applyBorder="1" applyAlignment="1">
      <x:alignment horizontal="center" vertical="center" wrapText="1"/>
    </x:xf>
    <x:xf numFmtId="0" fontId="24" fillId="11" borderId="8" xfId="0" applyNumberFormat="1" applyFont="1" applyFill="1" applyBorder="1" applyAlignment="1">
      <x:alignment horizontal="center" vertical="center" wrapText="1"/>
    </x:xf>
    <x:xf numFmtId="0" fontId="24" fillId="11" borderId="9" xfId="0" applyNumberFormat="1" applyFont="1" applyFill="1" applyBorder="1" applyAlignment="1">
      <x:alignment horizontal="center" vertical="center" wrapText="1"/>
    </x:xf>
    <x:xf numFmtId="0" fontId="25" fillId="0" borderId="3" xfId="0" applyNumberFormat="1" applyFont="1" applyFill="1" applyBorder="1" applyAlignment="1">
      <x:alignment horizontal="center"/>
    </x:xf>
    <x:xf numFmtId="0" fontId="24" fillId="11" borderId="10" xfId="0" applyNumberFormat="1" applyFont="1" applyFill="1" applyBorder="1" applyAlignment="1">
      <x:alignment horizontal="center" vertical="center" wrapText="1"/>
    </x:xf>
    <x:xf numFmtId="0" fontId="24" fillId="11" xfId="0" applyNumberFormat="1" applyFont="1" applyFill="1" applyBorder="0" applyAlignment="1">
      <x:alignment horizontal="center" vertical="center" wrapText="1"/>
    </x:xf>
    <x:xf numFmtId="0" fontId="24" fillId="11" borderId="11" xfId="0" applyNumberFormat="1" applyFont="1" applyFill="1" applyBorder="1" applyAlignment="1">
      <x:alignment horizontal="center" vertical="center" wrapText="1"/>
    </x:xf>
    <x:xf numFmtId="0" fontId="24" fillId="11" borderId="12" xfId="0" applyNumberFormat="1" applyFont="1" applyFill="1" applyBorder="1" applyAlignment="1">
      <x:alignment horizontal="center" vertical="center" wrapText="1"/>
    </x:xf>
    <x:xf numFmtId="0" fontId="24" fillId="11" borderId="13" xfId="0" applyNumberFormat="1" applyFont="1" applyFill="1" applyBorder="1" applyAlignment="1">
      <x:alignment horizontal="center" vertical="center" wrapText="1"/>
    </x:xf>
    <x:xf numFmtId="0" fontId="24" fillId="11" borderId="14" xfId="0" applyNumberFormat="1" applyFont="1" applyFill="1" applyBorder="1" applyAlignment="1">
      <x:alignment horizontal="center" vertical="center" wrapText="1"/>
    </x:xf>
    <x:xf numFmtId="200" fontId="25" fillId="0" borderId="3" xfId="0" applyNumberFormat="1" applyFont="1" applyFill="1" applyBorder="1" applyAlignment="1">
      <x:alignment horizontal="center"/>
    </x:xf>
    <x:xf numFmtId="0" fontId="22" fillId="8" borderId="0" xfId="0" applyNumberFormat="1" applyFont="1" applyFill="1" applyBorder="1" applyAlignment="1">
      <x:alignment horizontal="center"/>
    </x:xf>
    <x:xf numFmtId="0" fontId="26" fillId="15" borderId="0" xfId="0" applyNumberFormat="1" applyFont="1" applyFill="1" applyBorder="1" applyAlignment="1">
      <x:alignment horizontal="center"/>
    </x:xf>
    <x:xf numFmtId="0" fontId="22" fillId="10" borderId="3" xfId="0" applyNumberFormat="1" applyFont="1" applyFill="1" applyBorder="1"/>
    <x:xf numFmtId="0" fontId="23" fillId="9" borderId="3" xfId="0" applyNumberFormat="1" applyFont="1" applyFill="1" applyBorder="1" applyAlignment="1">
      <x:alignment wrapText="1"/>
    </x:xf>
    <x:xf numFmtId="0" fontId="27" fillId="12" borderId="15" xfId="0" applyNumberFormat="1" applyFont="1" applyFill="1" applyBorder="1" applyAlignment="1">
      <x:alignment wrapText="1"/>
    </x:xf>
    <x:xf numFmtId="0" fontId="28" fillId="13" borderId="0" xfId="0" applyNumberFormat="1" applyFont="1" applyFill="1" applyBorder="1" applyAlignment="1">
      <x:alignment horizontal="center"/>
    </x:xf>
    <x:xf numFmtId="0" fontId="22" fillId="10" borderId="3" xfId="0" applyNumberFormat="1" applyFont="1" applyFill="1" applyBorder="1" applyAlignment="1">
      <x:alignment horizontal="center" wrapText="1"/>
    </x:xf>
    <x:xf numFmtId="0" fontId="22" fillId="8" borderId="3" xfId="0" applyNumberFormat="1" applyFont="1" applyFill="1" applyBorder="1" applyAlignment="1">
      <x:alignment vertical="center"/>
    </x:xf>
    <x:xf numFmtId="0" fontId="24" fillId="11" borderId="4" xfId="0" applyNumberFormat="1" applyFont="1" applyFill="1" applyBorder="1" applyAlignment="1">
      <x:alignment horizontal="center" vertical="center" wrapText="1"/>
    </x:xf>
    <x:xf numFmtId="0" fontId="27" fillId="12" borderId="5" xfId="0" applyNumberFormat="1" applyFont="1" applyFill="1" applyBorder="1" applyAlignment="1">
      <x:alignment horizontal="center" vertical="center" wrapText="1"/>
    </x:xf>
    <x:xf numFmtId="0" fontId="25" fillId="0" borderId="3" xfId="0" applyNumberFormat="1" applyFont="1" applyFill="1" applyBorder="1" applyAlignment="1">
      <x:alignment horizontal="center" vertical="center" wrapText="1"/>
    </x:xf>
    <x:xf numFmtId="0" fontId="29" fillId="13" borderId="6" xfId="0" applyNumberFormat="1" applyFont="1" applyFill="1" applyBorder="1" applyAlignment="1">
      <x:alignment horizontal="center" vertical="center" wrapText="1"/>
    </x:xf>
    <x:xf numFmtId="0" fontId="23" fillId="0" borderId="3" xfId="0" applyNumberFormat="1" applyFont="1" applyFill="1" applyBorder="1" applyAlignment="1">
      <x:alignment vertical="top" wrapText="1"/>
    </x:xf>
  </x:cellXfs>
  <x:cellStyles count="1">
    <x:cellStyle name="Normal" xfId="0"/>
  </x:cellStyles>
  <x:dxfs count="8">
    <x:dxf>
      <x:font>
        <x:b/>
        <x:color rgb="FFA61B1B"/>
      </x:font>
      <x:fill>
        <x:patternFill patternType="solid">
          <x:bgColor rgb="FFF8D7DA"/>
        </x:patternFill>
      </x:fill>
    </x:dxf>
    <x:dxf>
      <x:font>
        <x:b/>
        <x:color rgb="FFA61B1B"/>
      </x:font>
      <x:fill>
        <x:patternFill patternType="solid">
          <x:bgColor rgb="FFF8D7DA"/>
        </x:patternFill>
      </x:fill>
    </x:dxf>
    <x:dxf>
      <x:font>
        <x:b/>
        <x:color rgb="FFA61B1B"/>
      </x:font>
      <x:fill>
        <x:patternFill patternType="solid">
          <x:bgColor rgb="FFF8D7DA"/>
        </x:patternFill>
      </x:fill>
    </x:dxf>
    <x:dxf>
      <x:font>
        <x:b/>
        <x:color rgb="FF257A4B"/>
      </x:font>
      <x:fill>
        <x:patternFill patternType="solid">
          <x:bgColor rgb="FFDDEFE5"/>
        </x:patternFill>
      </x:fill>
    </x:dxf>
    <x:dxf>
      <x:font>
        <x:b/>
        <x:color rgb="FFA61B1B"/>
      </x:font>
      <x:fill>
        <x:patternFill patternType="solid">
          <x:bgColor rgb="FFF8D7DA"/>
        </x:patternFill>
      </x:fill>
    </x:dxf>
    <x:dxf>
      <x:font>
        <x:b/>
        <x:color rgb="FF9A6700"/>
      </x:font>
      <x:fill>
        <x:patternFill patternType="solid">
          <x:bgColor rgb="FFFFF0C2"/>
        </x:patternFill>
      </x:fill>
    </x:dxf>
    <x:dxf>
      <x:font>
        <x:b/>
        <x:color rgb="FF52606D"/>
      </x:font>
      <x:fill>
        <x:patternFill patternType="solid">
          <x:bgColor rgb="FFE9EEF3"/>
        </x:patternFill>
      </x:fill>
    </x:dxf>
    <x:dxf>
      <x:font>
        <x:b/>
        <x:color rgb="FF5B3A8A"/>
      </x:font>
      <x:fill>
        <x:patternFill patternType="solid">
          <x:bgColor rgb="FFE9E1F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f17183bbe76450c" /><Relationship Type="http://schemas.openxmlformats.org/officeDocument/2006/relationships/theme" Target="/xl/theme/theme1.xml" Id="R6d5eee10064f4dd8" /><Relationship Type="http://schemas.openxmlformats.org/officeDocument/2006/relationships/sharedStrings" Target="/xl/sharedStrings.xml" Id="Rc0021d6f162e4618" /><Relationship Type="http://schemas.openxmlformats.org/officeDocument/2006/relationships/worksheet" Target="/xl/worksheets/sheet1.xml" Id="R24286be9fec0476b" /><Relationship Type="http://schemas.openxmlformats.org/officeDocument/2006/relationships/worksheet" Target="/xl/worksheets/sheet2.xml" Id="Rd23e2f350dd443af" /><Relationship Type="http://schemas.openxmlformats.org/officeDocument/2006/relationships/worksheet" Target="/xl/worksheets/sheet3.xml" Id="Rc5358a6157b84032" /><Relationship Type="http://schemas.openxmlformats.org/officeDocument/2006/relationships/worksheet" Target="/xl/worksheets/sheet4.xml" Id="Ra6746a6b96f64902" /><Relationship Type="http://schemas.openxmlformats.org/officeDocument/2006/relationships/worksheet" Target="/xl/worksheets/sheet5.xml" Id="R15513ae336674dff" /><Relationship Type="http://schemas.openxmlformats.org/officeDocument/2006/relationships/worksheet" Target="/xl/worksheets/sheet6.xml" Id="R10a93d6f27db4c8c" /><Relationship Type="http://schemas.openxmlformats.org/officeDocument/2006/relationships/worksheet" Target="/xl/worksheets/sheet7.xml" Id="R588be969a2b5417c" /><Relationship Type="http://schemas.openxmlformats.org/officeDocument/2006/relationships/worksheet" Target="/xl/worksheets/sheet8.xml" Id="R17421d92813140ea" /><Relationship Type="http://schemas.openxmlformats.org/officeDocument/2006/relationships/worksheet" Target="/xl/worksheets/sheet9.xml" Id="R63629d78c94a433f" /><Relationship Type="http://schemas.openxmlformats.org/officeDocument/2006/relationships/worksheet" Target="/xl/worksheets/sheet10.xml" Id="Rd484ebc3a4ad489f" /><Relationship Type="http://schemas.openxmlformats.org/officeDocument/2006/relationships/worksheet" Target="/xl/worksheets/sheet11.xml" Id="R15d07f554155448c" /><Relationship Type="http://schemas.openxmlformats.org/officeDocument/2006/relationships/worksheet" Target="/xl/worksheets/sheet12.xml" Id="R404510ecddf84396" /><Relationship Type="http://schemas.openxmlformats.org/officeDocument/2006/relationships/worksheet" Target="/xl/worksheets/sheet13.xml" Id="Rba2083fbc0a749ab" /><Relationship Type="http://schemas.openxmlformats.org/officeDocument/2006/relationships/worksheet" Target="/xl/worksheets/sheet14.xml" Id="R8274bbcc726741d5" /><Relationship Type="http://schemas.openxmlformats.org/officeDocument/2006/relationships/worksheet" Target="/xl/worksheets/sheet15.xml" Id="Rcf3eb30a2a57492d" /><Relationship Type="http://schemas.openxmlformats.org/officeDocument/2006/relationships/worksheet" Target="/xl/worksheets/sheet16.xml" Id="Rf34f0e0616f7464f" /><Relationship Type="http://schemas.openxmlformats.org/officeDocument/2006/relationships/worksheet" Target="/xl/worksheets/sheet17.xml" Id="R78ed896205e24cf7" /><Relationship Type="http://schemas.openxmlformats.org/officeDocument/2006/relationships/worksheet" Target="/xl/worksheets/sheet18.xml" Id="Rb172f2555e4a4dda" /><Relationship Type="http://schemas.openxmlformats.org/officeDocument/2006/relationships/worksheet" Target="/xl/worksheets/sheet19.xml" Id="Re34ea1cfe26e44de" /><Relationship Type="http://schemas.openxmlformats.org/officeDocument/2006/relationships/worksheet" Target="/xl/worksheets/sheet20.xml" Id="Rec76328945f64c96" /><Relationship Type="http://schemas.openxmlformats.org/officeDocument/2006/relationships/worksheet" Target="/xl/worksheets/sheet21.xml" Id="R2f3eef1c41f54f1d" /><Relationship Type="http://schemas.openxmlformats.org/officeDocument/2006/relationships/worksheet" Target="/xl/worksheets/sheet22.xml" Id="R1ee14d052c4f4d42" /><Relationship Type="http://schemas.openxmlformats.org/officeDocument/2006/relationships/worksheet" Target="/xl/worksheets/sheet23.xml" Id="R37417496a6e540b7" /><Relationship Type="http://schemas.openxmlformats.org/officeDocument/2006/relationships/worksheet" Target="/xl/worksheets/sheet24.xml" Id="R1b33da7523114543" /><Relationship Type="http://schemas.openxmlformats.org/officeDocument/2006/relationships/worksheet" Target="/xl/worksheets/sheet25.xml" Id="R3a0de9fb393d4b11" /><Relationship Type="http://schemas.openxmlformats.org/officeDocument/2006/relationships/worksheet" Target="/xl/worksheets/sheet26.xml" Id="R4ffe11ef480f4cbb" /><Relationship Type="http://schemas.openxmlformats.org/officeDocument/2006/relationships/worksheet" Target="/xl/worksheets/sheet27.xml" Id="Re49c15bddd0a45f0" /><Relationship Type="http://schemas.microsoft.com/office/2017/10/relationships/person" Target="/xl/persons/person.xml" Id="R7ea189f6c86441fd" /></Relationships>
</file>

<file path=xl/drawings/_rels/drawing1.xml.rels>&#65279;<?xml version="1.0" encoding="utf-8"?><Relationships xmlns="http://schemas.openxmlformats.org/package/2006/relationships"><Relationship Type="http://schemas.openxmlformats.org/officeDocument/2006/relationships/image" Target="/xl/media/image.jpg" Id="R6b90767ec49f4847" /><Relationship Type="http://schemas.openxmlformats.org/officeDocument/2006/relationships/image" Target="/xl/media/image2.jpg" Id="Rc499fd11c07e48af" /><Relationship Type="http://schemas.openxmlformats.org/officeDocument/2006/relationships/image" Target="/xl/media/image3.jpg" Id="Rf0b8ef6bf0f94db2" /></Relationships>
</file>

<file path=xl/drawings/_rels/drawing2.xml.rels>&#65279;<?xml version="1.0" encoding="utf-8"?><Relationships xmlns="http://schemas.openxmlformats.org/package/2006/relationships"><Relationship Type="http://schemas.openxmlformats.org/officeDocument/2006/relationships/chart" Target="/xl/drawings/charts/chart1.xml" Id="R7be2f8cca3234d1c"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Evidence-backed completion by block</a:t>
            </a:r>
          </a:p>
        </c:rich>
      </c:tx>
    </c:title>
    <c:plotArea>
      <c:barChart>
        <c:barDir val="col"/>
        <c:varyColors val="0"/>
        <c:ser>
          <c:idx val="0"/>
          <c:order val="0"/>
          <c:tx>
            <c:v>Completion</c:v>
          </c:tx>
          <c:cat>
            <c:strRef>
              <c:f>'00_ENTERPRISE_HOME'!$N$4:$N$11</c:f>
              <c:strCache>
                <c:ptCount val="0"/>
              </c:strCache>
            </c:strRef>
          </c:cat>
          <c:val>
            <c:numRef>
              <c:f>'00_ENTERPRISE_HOME'!$O$4:$O$11</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lblAlgn val="ctr"/>
        <c:lblOffset val="100"/>
        <c:noMultiLvlLbl val="0"/>
      </c:catAx>
      <c:valAx>
        <c:axId val="48672768"/>
        <c:scaling>
          <c:orientation val="minMax"/>
          <c:max val="1"/>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oneCellAnchor>
    <xdr:from>
      <xdr:col>0</xdr:col>
      <xdr:colOff>0</xdr:colOff>
      <xdr:row>8</xdr:row>
      <xdr:rowOff>0</xdr:rowOff>
    </xdr:from>
    <xdr:ext cx="10477500" cy="5905500"/>
    <xdr:pic>
      <xdr:nvPicPr>
        <xdr:cNvPr id="1" name="/xl/media/image.jpg"/>
        <xdr:cNvPicPr>
          <a:picLocks xmlns:a="http://schemas.openxmlformats.org/drawingml/2006/main" noChangeAspect="1"/>
        </xdr:cNvPicPr>
      </xdr:nvPicPr>
      <xdr:blipFill>
        <a:blip xmlns:r="http://schemas.openxmlformats.org/officeDocument/2006/relationships" xmlns:a="http://schemas.openxmlformats.org/drawingml/2006/main" r:embed="R6b90767ec49f4847"/>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40</xdr:row>
      <xdr:rowOff>0</xdr:rowOff>
    </xdr:from>
    <xdr:ext cx="10477500" cy="5905500"/>
    <xdr:pic>
      <xdr:nvPicPr>
        <xdr:cNvPr id="2" name="/xl/media/image2.jpg"/>
        <xdr:cNvPicPr>
          <a:picLocks xmlns:a="http://schemas.openxmlformats.org/drawingml/2006/main" noChangeAspect="1"/>
        </xdr:cNvPicPr>
      </xdr:nvPicPr>
      <xdr:blipFill>
        <a:blip xmlns:r="http://schemas.openxmlformats.org/officeDocument/2006/relationships" xmlns:a="http://schemas.openxmlformats.org/drawingml/2006/main" r:embed="Rc499fd11c07e48af"/>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72</xdr:row>
      <xdr:rowOff>0</xdr:rowOff>
    </xdr:from>
    <xdr:ext cx="10477500" cy="5905500"/>
    <xdr:pic>
      <xdr:nvPicPr>
        <xdr:cNvPr id="3" name="/xl/media/image3.jpg"/>
        <xdr:cNvPicPr>
          <a:picLocks xmlns:a="http://schemas.openxmlformats.org/drawingml/2006/main" noChangeAspect="1"/>
        </xdr:cNvPicPr>
      </xdr:nvPicPr>
      <xdr:blipFill>
        <a:blip xmlns:r="http://schemas.openxmlformats.org/officeDocument/2006/relationships" xmlns:a="http://schemas.openxmlformats.org/drawingml/2006/main" r:embed="Rf0b8ef6bf0f94db2"/>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twoCellAnchor>
    <xdr:from>
      <xdr:col>0</xdr:col>
      <xdr:colOff>0</xdr:colOff>
      <xdr:row>21</xdr:row>
      <xdr:rowOff>0</xdr:rowOff>
    </xdr:from>
    <xdr:to>
      <xdr:col>12</xdr:col>
      <xdr:colOff>0</xdr:colOff>
      <xdr:row>42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be2f8cca3234d1c"/>
        </a:graphicData>
      </a:graphic>
    </xdr:graphicFrame>
    <xdr:clientData/>
  </xdr:twoCellAnchor>
</xdr:wsDr>
</file>

<file path=xl/persons/person.xml><?xml version="1.0" encoding="utf-8"?>
<xltc:personList xmlns:xltc="http://schemas.microsoft.com/office/spreadsheetml/2018/threadedcomments">
  <xltc:person displayName="Vikram Indla" id="{7575ED6D-B66B-4A84-87DB-08C8C7FDA79B}"/>
  <xltc:person displayName="Vikram Indla" id="{A3A5CDD8-63AF-4C21-AC83-F46DFFEBFC1C}"/>
</xltc:personList>
</file>

<file path=xl/tables/table1.xml><?xml version="1.0" encoding="utf-8"?>
<x:table xmlns:x="http://schemas.openxmlformats.org/spreadsheetml/2006/main" id="1" name="00READMETbl" displayName="00READMETbl" ref="A4:B17" headerRowCount="1" totalsRowCount="0" totalsRowShown="0">
  <x:tableColumns count="2">
    <x:tableColumn id="1" name="Item"/>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01EXECUTIVEDIAGNOSISTbl" displayName="01EXECUTIVEDIAGNOSISTbl" ref="A4:C22" headerRowCount="1" totalsRowCount="0" totalsRowShown="0">
  <x:tableColumns count="3">
    <x:tableColumn id="1" name="Metric"/>
    <x:tableColumn id="2" name="Value"/>
    <x:tableColumn id="3" name="Evidence / interpretation"/>
  </x:tableColumns>
  <x:tableStyleInfo name="TableStyleMedium2" showFirstColumn="0" showLastColumn="0" showRowStripes="1" showColumnStripes="0"/>
</x:table>
</file>

<file path=xl/tables/table3.xml><?xml version="1.0" encoding="utf-8"?>
<x:table xmlns:x="http://schemas.openxmlformats.org/spreadsheetml/2006/main" id="3" name="02PERSONAREGISTERTbl" displayName="02PERSONAREGISTERTbl" ref="A4:R16" headerRowCount="1" totalsRowCount="0" totalsRowShown="0">
  <x:tableColumns count="18">
    <x:tableColumn id="1" name="Persona ID"/>
    <x:tableColumn id="2" name="Persona name"/>
    <x:tableColumn id="3" name="Business purpose"/>
    <x:tableColumn id="4" name="Actor type"/>
    <x:tableColumn id="5" name="Source evidence"/>
    <x:tableColumn id="6" name="Role/permission identifiers"/>
    <x:tableColumn id="7" name="Navigation available"/>
    <x:tableColumn id="8" name="Objects owned"/>
    <x:tableColumn id="9" name="Actions allowed"/>
    <x:tableColumn id="10" name="Actions denied"/>
    <x:tableColumn id="11" name="Required configuration"/>
    <x:tableColumn id="12" name="Upstream dependencies"/>
    <x:tableColumn id="13" name="Downstream consumers"/>
    <x:tableColumn id="14" name="Entry point"/>
    <x:tableColumn id="15" name="Expected outcomes"/>
    <x:tableColumn id="16" name="Current readiness"/>
    <x:tableColumn id="17" name="Persona-level blockers"/>
    <x:tableColumn id="18" name="Repo deep links"/>
  </x:tableColumns>
  <x:tableStyleInfo name="TableStyleMedium2" showFirstColumn="0" showLastColumn="0" showRowStripes="1" showColumnStripes="0"/>
</x:table>
</file>

<file path=xl/tables/table4.xml><?xml version="1.0" encoding="utf-8"?>
<x:table xmlns:x="http://schemas.openxmlformats.org/spreadsheetml/2006/main" id="4" name="03JOURNEYMASTERTbl" displayName="03JOURNEYMASTERTbl" ref="A4:X26" headerRowCount="1" totalsRowCount="0" totalsRowShown="0">
  <x:tableColumns count="24">
    <x:tableColumn id="1" name="Journey ID"/>
    <x:tableColumn id="2" name="Persona"/>
    <x:tableColumn id="3" name="Domain/module"/>
    <x:tableColumn id="4" name="Journey name"/>
    <x:tableColumn id="5" name="Business objective"/>
    <x:tableColumn id="6" name="Trigger"/>
    <x:tableColumn id="7" name="Starting state"/>
    <x:tableColumn id="8" name="Preconditions"/>
    <x:tableColumn id="9" name="Required admin configuration"/>
    <x:tableColumn id="10" name="Required upstream records"/>
    <x:tableColumn id="11" name="Entry route"/>
    <x:tableColumn id="12" name="Terminal outcome"/>
    <x:tableColumn id="13" name="End status"/>
    <x:tableColumn id="14" name="Positive path available?"/>
    <x:tableColumn id="15" name="Alternate paths"/>
    <x:tableColumn id="16" name="Exception paths"/>
    <x:tableColumn id="17" name="Runtime status"/>
    <x:tableColumn id="18" name="Journey completeness %"/>
    <x:tableColumn id="19" name="Business criticality"/>
    <x:tableColumn id="20" name="Production readiness"/>
    <x:tableColumn id="21" name="Primary blocker IDs"/>
    <x:tableColumn id="22" name="Evidence strength"/>
    <x:tableColumn id="23" name="Screenshot references"/>
    <x:tableColumn id="24" name="Repo deep links"/>
  </x:tableColumns>
  <x:tableStyleInfo name="TableStyleMedium2" showFirstColumn="0" showLastColumn="0" showRowStripes="1" showColumnStripes="0"/>
</x:table>
</file>

<file path=xl/tables/table5.xml><?xml version="1.0" encoding="utf-8"?>
<x:table xmlns:x="http://schemas.openxmlformats.org/spreadsheetml/2006/main" id="5" name="04STEPBYSTEPTbl" displayName="04STEPBYSTEPTbl" ref="A4:AM28" headerRowCount="1" totalsRowCount="0" totalsRowShown="0">
  <x:tableColumns count="39">
    <x:tableColumn id="1" name="Journey ID"/>
    <x:tableColumn id="2" name="Variant ID"/>
    <x:tableColumn id="3" name="Step ID"/>
    <x:tableColumn id="4" name="Sequence"/>
    <x:tableColumn id="5" name="Persona"/>
    <x:tableColumn id="6" name="Screen/page"/>
    <x:tableColumn id="7" name="Route"/>
    <x:tableColumn id="8" name="Tab/section/modal/drawer"/>
    <x:tableColumn id="9" name="Starting UI state"/>
    <x:tableColumn id="10" name="User objective"/>
    <x:tableColumn id="11" name="User action"/>
    <x:tableColumn id="12" name="Control used"/>
    <x:tableColumn id="13" name="Field/data required"/>
    <x:tableColumn id="14" name="Required/optional"/>
    <x:tableColumn id="15" name="Field type"/>
    <x:tableColumn id="16" name="Allowed values"/>
    <x:tableColumn id="17" name="Default value"/>
    <x:tableColumn id="18" name="Validation"/>
    <x:tableColumn id="19" name="Help/guidance shown"/>
    <x:tableColumn id="20" name="Data read"/>
    <x:tableColumn id="21" name="Data source"/>
    <x:tableColumn id="22" name="Backend call"/>
    <x:tableColumn id="23" name="Data write"/>
    <x:tableColumn id="24" name="Table/view"/>
    <x:tableColumn id="25" name="Column(s)"/>
    <x:tableColumn id="26" name="Status before"/>
    <x:tableColumn id="27" name="Status after"/>
    <x:tableColumn id="28" name="Audit event"/>
    <x:tableColumn id="29" name="Notification"/>
    <x:tableColumn id="30" name="Expected UI response"/>
    <x:tableColumn id="31" name="Actual observed response"/>
    <x:tableColumn id="32" name="Next step"/>
    <x:tableColumn id="33" name="Alternate branch"/>
    <x:tableColumn id="34" name="Failure branch"/>
    <x:tableColumn id="35" name="Recovery"/>
    <x:tableColumn id="36" name="Breakpoint ID"/>
    <x:tableColumn id="37" name="Screenshot ID"/>
    <x:tableColumn id="38" name="Source-code evidence"/>
    <x:tableColumn id="39" name="Confidence"/>
  </x:tableColumns>
  <x:tableStyleInfo name="TableStyleMedium2" showFirstColumn="0" showLastColumn="0" showRowStripes="1" showColumnStripes="0"/>
</x:table>
</file>

<file path=xl/tables/table6.xml><?xml version="1.0" encoding="utf-8"?>
<x:table xmlns:x="http://schemas.openxmlformats.org/spreadsheetml/2006/main" id="6" name="06SCREENATLASTbl" displayName="06SCREENATLASTbl" ref="A4:T16" headerRowCount="1" totalsRowCount="0" totalsRowShown="0">
  <x:tableColumns count="20">
    <x:tableColumn id="1" name="Screen ID"/>
    <x:tableColumn id="2" name="Screen name"/>
    <x:tableColumn id="3" name="Route"/>
    <x:tableColumn id="4" name="Persona visibility"/>
    <x:tableColumn id="5" name="Purpose"/>
    <x:tableColumn id="6" name="Entry condition"/>
    <x:tableColumn id="7" name="Exit actions"/>
    <x:tableColumn id="8" name="Data displayed"/>
    <x:tableColumn id="9" name="Data captured"/>
    <x:tableColumn id="10" name="Empty state"/>
    <x:tableColumn id="11" name="Loading state"/>
    <x:tableColumn id="12" name="Error state"/>
    <x:tableColumn id="13" name="Permission-denied state"/>
    <x:tableColumn id="14" name="Arabic/RTL state"/>
    <x:tableColumn id="15" name="Responsive state"/>
    <x:tableColumn id="16" name="Screenshot ID"/>
    <x:tableColumn id="17" name="Source component"/>
    <x:tableColumn id="18" name="Journeys using screen"/>
    <x:tableColumn id="19" name="Repo deep link"/>
    <x:tableColumn id="20" name="Runtime status"/>
  </x:tableColumns>
  <x:tableStyleInfo name="TableStyleMedium2" showFirstColumn="0" showLastColumn="0" showRowStripes="1" showColumnStripes="0"/>
</x:table>
</file>

<file path=xl/tables/table7.xml><?xml version="1.0" encoding="utf-8"?>
<x:table xmlns:x="http://schemas.openxmlformats.org/spreadsheetml/2006/main" id="7" name="07DATALINEAGETbl" displayName="07DATALINEAGETbl" ref="A4:S28" headerRowCount="1" totalsRowCount="0" totalsRowShown="0">
  <x:tableColumns count="19">
    <x:tableColumn id="1" name="Journey ID"/>
    <x:tableColumn id="2" name="Step ID"/>
    <x:tableColumn id="3" name="UI field/control"/>
    <x:tableColumn id="4" name="Operation"/>
    <x:tableColumn id="5" name="Frontend component"/>
    <x:tableColumn id="6" name="Hook/service/client"/>
    <x:tableColumn id="7" name="API/RPC"/>
    <x:tableColumn id="8" name="Table/view/function"/>
    <x:tableColumn id="9" name="Column"/>
    <x:tableColumn id="10" name="FK relationship"/>
    <x:tableColumn id="11" name="Validation/constraint"/>
    <x:tableColumn id="12" name="RLS/policy"/>
    <x:tableColumn id="13" name="Trigger"/>
    <x:tableColumn id="14" name="Audit effect"/>
    <x:tableColumn id="15" name="Notification effect"/>
    <x:tableColumn id="16" name="Downstream impact"/>
    <x:tableColumn id="17" name="Failure behavior"/>
    <x:tableColumn id="18" name="Evidence link"/>
    <x:tableColumn id="19" name="Verification status"/>
  </x:tableColumns>
  <x:tableStyleInfo name="TableStyleMedium2" showFirstColumn="0" showLastColumn="0" showRowStripes="1" showColumnStripes="0"/>
</x:table>
</file>

<file path=xl/tables/table8.xml><?xml version="1.0" encoding="utf-8"?>
<x:table xmlns:x="http://schemas.openxmlformats.org/spreadsheetml/2006/main" id="8" name="08ADMINPREREQUISITESTbl" displayName="08ADMINPREREQUISITESTbl" ref="A4:P11" headerRowCount="1" totalsRowCount="0" totalsRowShown="0">
  <x:tableColumns count="16">
    <x:tableColumn id="1" name="Journey ID"/>
    <x:tableColumn id="2" name="Operational persona"/>
    <x:tableColumn id="3" name="Required configuration"/>
    <x:tableColumn id="4" name="Configuration owner"/>
    <x:tableColumn id="5" name="Admin screen"/>
    <x:tableColumn id="6" name="Route"/>
    <x:tableColumn id="7" name="Required fields"/>
    <x:tableColumn id="8" name="Source table"/>
    <x:tableColumn id="9" name="Configuration status"/>
    <x:tableColumn id="10" name="Validation"/>
    <x:tableColumn id="11" name="Dependency order"/>
    <x:tableColumn id="12" name="What happens if missing"/>
    <x:tableColumn id="13" name="User-visible error"/>
    <x:tableColumn id="14" name="Actual behavior if missing"/>
    <x:tableColumn id="15" name="Remediation"/>
    <x:tableColumn id="16" name="Evidence"/>
  </x:tableColumns>
  <x:tableStyleInfo name="TableStyleMedium2" showFirstColumn="0" showLastColumn="0" showRowStripes="1" showColumnStripes="0"/>
</x:table>
</file>

<file path=xl/tables/table9.xml><?xml version="1.0" encoding="utf-8"?>
<x:table xmlns:x="http://schemas.openxmlformats.org/spreadsheetml/2006/main" id="9" name="09LIFECYCLESTATEMATRTbl" displayName="09LIFECYCLESTATEMATRTbl" ref="A4:O12" headerRowCount="1" totalsRowCount="0" totalsRowShown="0">
  <x:tableColumns count="15">
    <x:tableColumn id="1" name="Object"/>
    <x:tableColumn id="2" name="Current state"/>
    <x:tableColumn id="3" name="Allowed next states"/>
    <x:tableColumn id="4" name="Triggering action"/>
    <x:tableColumn id="5" name="Authorized persona"/>
    <x:tableColumn id="6" name="Required conditions"/>
    <x:tableColumn id="7" name="UI control"/>
    <x:tableColumn id="8" name="Backend mutation"/>
    <x:tableColumn id="9" name="Status field"/>
    <x:tableColumn id="10" name="Notification"/>
    <x:tableColumn id="11" name="Audit event"/>
    <x:tableColumn id="12" name="Invalid transition behavior"/>
    <x:tableColumn id="13" name="Reachable?"/>
    <x:tableColumn id="14" name="Verified?"/>
    <x:tableColumn id="15" name="Related journeys"/>
  </x:tableColumns>
  <x:tableStyleInfo name="TableStyleMedium2" showFirstColumn="0" showLastColumn="0" showRowStripes="1" showColumnStripes="0"/>
</x:table>
</file>

<file path=xl/tables/table10.xml><?xml version="1.0" encoding="utf-8"?>
<x:table xmlns:x="http://schemas.openxmlformats.org/spreadsheetml/2006/main" id="10" name="10PERMISSIONSMATRIXTbl" displayName="10PERMISSIONSMATRIXTbl" ref="A4:J15" headerRowCount="1" totalsRowCount="0" totalsRowShown="0">
  <x:tableColumns count="10">
    <x:tableColumn id="1" name="Persona/role"/>
    <x:tableColumn id="2" name="Admin config"/>
    <x:tableColumn id="3" name="Planning"/>
    <x:tableColumn id="4" name="Visit management"/>
    <x:tableColumn id="5" name="Inspector execution"/>
    <x:tableColumn id="6" name="Review"/>
    <x:tableColumn id="7" name="Operations/Factory 360"/>
    <x:tableColumn id="8" name="Audit"/>
    <x:tableColumn id="9" name="Cases/Compliance"/>
    <x:tableColumn id="10" name="Evidence"/>
  </x:tableColumns>
  <x:tableStyleInfo name="TableStyleMedium2" showFirstColumn="0" showLastColumn="0" showRowStripes="1" showColumnStripes="0"/>
</x:table>
</file>

<file path=xl/tables/table11.xml><?xml version="1.0" encoding="utf-8"?>
<x:table xmlns:x="http://schemas.openxmlformats.org/spreadsheetml/2006/main" id="11" name="11BREAKPOINTREGISTERTbl" displayName="11BREAKPOINTREGISTERTbl" ref="A4:Y17" headerRowCount="1" totalsRowCount="0" totalsRowShown="0">
  <x:tableColumns count="25">
    <x:tableColumn id="1" name="Breakpoint ID"/>
    <x:tableColumn id="2" name="Journey ID"/>
    <x:tableColumn id="3" name="Step ID"/>
    <x:tableColumn id="4" name="Persona"/>
    <x:tableColumn id="5" name="Category"/>
    <x:tableColumn id="6" name="Title"/>
    <x:tableColumn id="7" name="Expected behavior"/>
    <x:tableColumn id="8" name="Actual behavior"/>
    <x:tableColumn id="9" name="Reproduction steps"/>
    <x:tableColumn id="10" name="Preconditions"/>
    <x:tableColumn id="11" name="Business impact"/>
    <x:tableColumn id="12" name="Completion impact"/>
    <x:tableColumn id="13" name="Scope of impact"/>
    <x:tableColumn id="14" name="Root cause"/>
    <x:tableColumn id="15" name="Root-cause evidence"/>
    <x:tableColumn id="16" name="Frontend/backend/database/integration"/>
    <x:tableColumn id="17" name="Severity"/>
    <x:tableColumn id="18" name="Workaround"/>
    <x:tableColumn id="19" name="Remediation"/>
    <x:tableColumn id="20" name="Acceptance criteria"/>
    <x:tableColumn id="21" name="Source files"/>
    <x:tableColumn id="22" name="Repo deep links"/>
    <x:tableColumn id="23" name="Screenshot IDs"/>
    <x:tableColumn id="24" name="Status"/>
    <x:tableColumn id="25" name="Confidence"/>
  </x:tableColumns>
  <x:tableStyleInfo name="TableStyleMedium2" showFirstColumn="0" showLastColumn="0" showRowStripes="1" showColumnStripes="0"/>
</x:table>
</file>

<file path=xl/tables/table12.xml><?xml version="1.0" encoding="utf-8"?>
<x:table xmlns:x="http://schemas.openxmlformats.org/spreadsheetml/2006/main" id="12" name="12TENSIONSANDBOTTLENTbl" displayName="12TENSIONSANDBOTTLENTbl" ref="A4:P8" headerRowCount="1" totalsRowCount="0" totalsRowShown="0">
  <x:tableColumns count="16">
    <x:tableColumn id="1" name="Tension ID"/>
    <x:tableColumn id="2" name="Journey"/>
    <x:tableColumn id="3" name="Persona"/>
    <x:tableColumn id="4" name="Step"/>
    <x:tableColumn id="5" name="Friction description"/>
    <x:tableColumn id="6" name="Trigger"/>
    <x:tableColumn id="7" name="Frequency"/>
    <x:tableColumn id="8" name="Extra clicks/time"/>
    <x:tableColumn id="9" name="Cognitive load"/>
    <x:tableColumn id="10" name="Duplicate data entry"/>
    <x:tableColumn id="11" name="Handoff delay"/>
    <x:tableColumn id="12" name="Ownership ambiguity"/>
    <x:tableColumn id="13" name="Consequence"/>
    <x:tableColumn id="14" name="Recommended redesign"/>
    <x:tableColumn id="15" name="Expected benefit"/>
    <x:tableColumn id="16" name="Evidence"/>
  </x:tableColumns>
  <x:tableStyleInfo name="TableStyleMedium2" showFirstColumn="0" showLastColumn="0" showRowStripes="1" showColumnStripes="0"/>
</x:table>
</file>

<file path=xl/tables/table13.xml><?xml version="1.0" encoding="utf-8"?>
<x:table xmlns:x="http://schemas.openxmlformats.org/spreadsheetml/2006/main" id="13" name="13MISSINGCAPABILITIETbl" displayName="13MISSINGCAPABILITIETbl" ref="A4:N9" headerRowCount="1" totalsRowCount="0" totalsRowShown="0">
  <x:tableColumns count="14">
    <x:tableColumn id="1" name="Gap ID"/>
    <x:tableColumn id="2" name="Persona"/>
    <x:tableColumn id="3" name="Journey"/>
    <x:tableColumn id="4" name="Missing capability"/>
    <x:tableColumn id="5" name="Why required"/>
    <x:tableColumn id="6" name="Evidence of intended need"/>
    <x:tableColumn id="7" name="Current workaround"/>
    <x:tableColumn id="8" name="Business impact"/>
    <x:tableColumn id="9" name="Dependency"/>
    <x:tableColumn id="10" name="Recommended behavior"/>
    <x:tableColumn id="11" name="Acceptance criteria"/>
    <x:tableColumn id="12" name="Priority"/>
    <x:tableColumn id="13" name="Whether documented/designed/absent"/>
    <x:tableColumn id="14" name="Related breakpoint IDs"/>
  </x:tableColumns>
  <x:tableStyleInfo name="TableStyleMedium2" showFirstColumn="0" showLastColumn="0" showRowStripes="1" showColumnStripes="0"/>
</x:table>
</file>

<file path=xl/tables/table14.xml><?xml version="1.0" encoding="utf-8"?>
<x:table xmlns:x="http://schemas.openxmlformats.org/spreadsheetml/2006/main" id="14" name="14REMEDIATIONBACKLOGTbl" displayName="14REMEDIATIONBACKLOGTbl" ref="A4:Q12" headerRowCount="1" totalsRowCount="0" totalsRowShown="0">
  <x:tableColumns count="17">
    <x:tableColumn id="1" name="Remediation ID"/>
    <x:tableColumn id="2" name="Linked finding IDs"/>
    <x:tableColumn id="3" name="Persona"/>
    <x:tableColumn id="4" name="Journey"/>
    <x:tableColumn id="5" name="Proposed change"/>
    <x:tableColumn id="6" name="Layer affected"/>
    <x:tableColumn id="7" name="Priority"/>
    <x:tableColumn id="8" name="Severity"/>
    <x:tableColumn id="9" name="Business value"/>
    <x:tableColumn id="10" name="Dependency"/>
    <x:tableColumn id="11" name="Suggested implementation order"/>
    <x:tableColumn id="12" name="Acceptance criteria"/>
    <x:tableColumn id="13" name="Test evidence required"/>
    <x:tableColumn id="14" name="Owner type"/>
    <x:tableColumn id="15" name="Estimate category"/>
    <x:tableColumn id="16" name="Quick win/systemic fix"/>
    <x:tableColumn id="17" name="Risk if deferred"/>
  </x:tableColumns>
  <x:tableStyleInfo name="TableStyleMedium2" showFirstColumn="0" showLastColumn="0" showRowStripes="1" showColumnStripes="0"/>
</x:table>
</file>

<file path=xl/tables/table15.xml><?xml version="1.0" encoding="utf-8"?>
<x:table xmlns:x="http://schemas.openxmlformats.org/spreadsheetml/2006/main" id="15" name="15SCREENSHOTSTbl" displayName="15SCREENSHOTSTbl" ref="A4:L7" headerRowCount="1" totalsRowCount="0" totalsRowShown="0">
  <x:tableColumns count="12">
    <x:tableColumn id="1" name="Screenshot ID"/>
    <x:tableColumn id="2" name="Journey ID"/>
    <x:tableColumn id="3" name="Step ID"/>
    <x:tableColumn id="4" name="Persona"/>
    <x:tableColumn id="5" name="Screen"/>
    <x:tableColumn id="6" name="State"/>
    <x:tableColumn id="7" name="Timestamp"/>
    <x:tableColumn id="8" name="Environment"/>
    <x:tableColumn id="9" name="What screenshot proves"/>
    <x:tableColumn id="10" name="Annotation"/>
    <x:tableColumn id="11" name="Source image file"/>
    <x:tableColumn id="12" name="Related finding"/>
  </x:tableColumns>
  <x:tableStyleInfo name="TableStyleMedium2" showFirstColumn="0" showLastColumn="0" showRowStripes="1" showColumnStripes="0"/>
</x:table>
</file>

<file path=xl/tables/table16.xml><?xml version="1.0" encoding="utf-8"?>
<x:table xmlns:x="http://schemas.openxmlformats.org/spreadsheetml/2006/main" id="16" name="16COVERAGEMATRIXTbl" displayName="16COVERAGEMATRIXTbl" ref="A4:I14" headerRowCount="1" totalsRowCount="0" totalsRowShown="0">
  <x:tableColumns count="9">
    <x:tableColumn id="1" name="Source item type"/>
    <x:tableColumn id="2" name="Source item"/>
    <x:tableColumn id="3" name="Source location"/>
    <x:tableColumn id="4" name="Mapped journey IDs"/>
    <x:tableColumn id="5" name="Mapped persona"/>
    <x:tableColumn id="6" name="Coverage status"/>
    <x:tableColumn id="7" name="Reason if unmapped"/>
    <x:tableColumn id="8" name="Evidence"/>
    <x:tableColumn id="9" name="Required follow-up"/>
  </x:tableColumns>
  <x:tableStyleInfo name="TableStyleMedium2" showFirstColumn="0" showLastColumn="0" showRowStripes="1" showColumnStripes="0"/>
</x:table>
</file>

<file path=xl/tables/table17.xml><?xml version="1.0" encoding="utf-8"?>
<x:table xmlns:x="http://schemas.openxmlformats.org/spreadsheetml/2006/main" id="17" name="17DEDUPLICATIONLOGTbl" displayName="17DEDUPLICATIONLOGTbl" ref="A4:F10" headerRowCount="1" totalsRowCount="0" totalsRowShown="0">
  <x:tableColumns count="6">
    <x:tableColumn id="1" name="Candidate Journey A"/>
    <x:tableColumn id="2" name="Candidate Journey B"/>
    <x:tableColumn id="3" name="Similarity"/>
    <x:tableColumn id="4" name="Material difference"/>
    <x:tableColumn id="5" name="Consolidated or separate"/>
    <x:tableColumn id="6" name="Decision rationale"/>
  </x:tableColumns>
  <x:tableStyleInfo name="TableStyleMedium2" showFirstColumn="0" showLastColumn="0" showRowStripes="1" showColumnStripes="0"/>
</x:table>
</file>

<file path=xl/tables/table18.xml><?xml version="1.0" encoding="utf-8"?>
<x:table xmlns:x="http://schemas.openxmlformats.org/spreadsheetml/2006/main" id="18" name="18EVIDENCEINDEXTbl" displayName="18EVIDENCEINDEXTbl" ref="A4:K14" headerRowCount="1" totalsRowCount="0" totalsRowShown="0">
  <x:tableColumns count="11">
    <x:tableColumn id="1" name="Evidence ID"/>
    <x:tableColumn id="2" name="Evidence type"/>
    <x:tableColumn id="3" name="File/page/sheet/route"/>
    <x:tableColumn id="4" name="Repository path"/>
    <x:tableColumn id="5" name="Line range or symbol"/>
    <x:tableColumn id="6" name="Commit SHA"/>
    <x:tableColumn id="7" name="Drive artifact"/>
    <x:tableColumn id="8" name="Screenshot ID"/>
    <x:tableColumn id="9" name="Claim supported"/>
    <x:tableColumn id="10" name="Confidence"/>
    <x:tableColumn id="11" name="Deep link"/>
  </x:tableColumns>
  <x:tableStyleInfo name="TableStyleMedium2" showFirstColumn="0" showLastColumn="0" showRowStripes="1" showColumnStripes="0"/>
</x:table>
</file>

<file path=xl/tables/table19.xml><?xml version="1.0" encoding="utf-8"?>
<x:table xmlns:x="http://schemas.openxmlformats.org/spreadsheetml/2006/main" id="19" name="19OPENQUESTIONSTbl" displayName="19OPENQUESTIONSTbl" ref="A4:I10" headerRowCount="1" totalsRowCount="0" totalsRowShown="0">
  <x:tableColumns count="9">
    <x:tableColumn id="1" name="Question ID"/>
    <x:tableColumn id="2" name="Persona/journey"/>
    <x:tableColumn id="3" name="Question"/>
    <x:tableColumn id="4" name="Why unresolved"/>
    <x:tableColumn id="5" name="Evidence checked"/>
    <x:tableColumn id="6" name="Missing evidence"/>
    <x:tableColumn id="7" name="Required decision owner"/>
    <x:tableColumn id="8" name="Impact if unanswered"/>
    <x:tableColumn id="9" name="Blocking/non-blocking"/>
  </x:tableColumns>
  <x:tableStyleInfo name="TableStyleMedium2" showFirstColumn="0" showLastColumn="0" showRowStripes="1" showColumnStripes="0"/>
</x:table>
</file>

<file path=xl/tables/table20.xml><?xml version="1.0" encoding="utf-8"?>
<x:table xmlns:x="http://schemas.openxmlformats.org/spreadsheetml/2006/main" id="20" name="20COMPLETIONCERTIFICTbl" displayName="20COMPLETIONCERTIFICTbl" ref="A4:C22" headerRowCount="1" totalsRowCount="0" totalsRowShown="0">
  <x:tableColumns count="3">
    <x:tableColumn id="1" name="Category"/>
    <x:tableColumn id="2" name="Result"/>
    <x:tableColumn id="3" name="Evidence / gap"/>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B5" dT="2026-07-30T00:27:04.444" personId="{7575ED6D-B66B-4A84-87DB-08C8C7FDA79B}" id="{598B802D-9DBF-9434-3A8E-1AEE61E45F56}">
    <xltc:text>FIELDS: staff identity, tenant/org scope, roles, capability grants.
CRUD: Create profiles/user_roles/grants; Read effective access.
BREAK: National ID directory contract absent; inspector login failed.
FIX: FIX-001.
ASSISTANCE: approve disposable environment and credential custody.</xltc:text>
  </xltc:threadedComment>
  <xltc:threadedComment ref="C5" dT="2026-07-30T00:27:04.445" personId="{7575ED6D-B66B-4A84-87DB-08C8C7FDA79B}" id="{8CECC3E3-7066-7CC5-FA5F-0DECB92BD768}">
    <xltc:text>FIELDS: regulations, package/checklist versions, workflow, effective version; execution modes/capacity/reasons only from approved policy.
CRUD: Create/Update requests and config versions; publish immutable versions.
BREAK: maker-checker and active values not runtime-proven.
FIX: FIX-002, FIX-003.</xltc:text>
  </xltc:threadedComment>
  <xltc:threadedComment ref="D6" dT="2026-07-30T00:27:04.445" personId="{7575ED6D-B66B-4A84-87DB-08C8C7FDA79B}" id="{DC9E0996-67F3-7333-912D-306E470C1ACA}">
    <xltc:text>FIELDS: canonical factory/CR/licence/location, window, type, mode, package, inspector.
CRUD: Read target/config; Create plan/visit/assignment/snapshots/audit/notification.
BREAK: sparse target data; atomicity/idempotency unproven.
FIX: FIX-004, FIX-005.</xltc:text>
  </xltc:threadedComment>
  <xltc:threadedComment ref="E7" dT="2026-07-30T00:27:04.445" personId="{7575ED6D-B66B-4A84-87DB-08C8C7FDA79B}" id="{64A2A776-EA2A-3079-4BF2-E33B1748C363}">
    <xltc:text>FIELDS: work identity, execution date, package resolution, location and override evidence.
CRUD: Read assignment; Create/Update preparation, journey, geo and lifecycle records.
BREAK: runtime auth; 12/32 ambiguous arrival links.
FIX: FIX-001, FIX-006.</xltc:text>
  </xltc:threadedComment>
  <xltc:threadedComment ref="F7" dT="2026-07-30T00:27:04.445" personId="{7575ED6D-B66B-4A84-87DB-08C8C7FDA79B}" id="{FDAE10C4-E27A-4612-035B-FCB85BD8C37C}">
    <xltc:text>FIELDS: all configured response types, mandatory/conditional answers, evidence, findings, attestation.
CRUD: Create/Update responses/evidence/findings/violations; Create immutable submission_version.
BREAK: end-to-end and failure/recovery paths unverified; invalid approved record proves guard gap.
FIX: FIX-007.</xltc:text>
  </xltc:threadedComment>
  <xltc:threadedComment ref="G8" dT="2026-07-30T00:27:04.445" personId="{7575ED6D-B66B-4A84-87DB-08C8C7FDA79B}" id="{BF41C8F2-A43F-CDD0-A6C7-A7EC2488012A}">
    <xltc:text>FIELDS: latest immutable version, decision, reason, returned scope.
CRUD: Read submission/evidence; Create review; Update inspection only through guarded transition.
BREAK: approved inspection exists without version or review.
FIX: FIX-007.</xltc:text>
  </xltc:threadedComment>
  <xltc:threadedComment ref="H9" dT="2026-07-30T00:27:04.445" personId="{7575ED6D-B66B-4A84-87DB-08C8C7FDA79B}" id="{9A24C48A-E20E-5C6E-10EA-94AE2E8F308B}">
    <xltc:text>FIELDS: owner identity, obligation, corrective evidence, response.
CRUD: Create/Update case response and evidence; closure receipt.
BREAK: dedicated owner route and closure invariant not found.
FIX: FIX-008.
ASSISTANCE: decide supported owner actor types.</xltc:text>
  </xltc:threadedComment>
  <xltc:threadedComment ref="I10" dT="2026-07-30T00:27:04.445" personId="{7575ED6D-B66B-4A84-87DB-08C8C7FDA79B}" id="{D2480025-66C1-A384-857D-9B5C4E797843}">
    <xltc:text>CRUD: Create notification intents/receipts and integration attempts; Read KPI facts/config.
BREAK: preferences missing for 7/8 profiles; dashboard config empty; Senaei trigger blocked.
FIX: FIX-009, FIX-010, FIX-011.</xltc:text>
  </xltc:threadedComment>
</xltc:ThreadedComments>
</file>

<file path=xl/worksheets/_rels/sheet1.xml.rels>&#65279;<?xml version="1.0" encoding="utf-8"?><Relationships xmlns="http://schemas.openxmlformats.org/package/2006/relationships"><Relationship Type="http://schemas.openxmlformats.org/officeDocument/2006/relationships/table" Target="/xl/tables/table1.xml" Id="R312247ea969042a0" /></Relationships>
</file>

<file path=xl/worksheets/_rels/sheet2.xml.rels>&#65279;<?xml version="1.0" encoding="utf-8"?><Relationships xmlns="http://schemas.openxmlformats.org/package/2006/relationships"><Relationship Type="http://schemas.openxmlformats.org/officeDocument/2006/relationships/table" Target="/xl/tables/table2.xml" Id="Rc507e3f7d9d2475b" /></Relationships>
</file>

<file path=xl/worksheets/_rels/sheet3.xml.rels>&#65279;<?xml version="1.0" encoding="utf-8"?><Relationships xmlns="http://schemas.openxmlformats.org/package/2006/relationships"><Relationship Type="http://schemas.openxmlformats.org/officeDocument/2006/relationships/table" Target="/xl/tables/table3.xml" Id="Rdea9d2324e9e4f02" /></Relationships>
</file>

<file path=xl/worksheets/_rels/sheet4.xml.rels>&#65279;<?xml version="1.0" encoding="utf-8"?><Relationships xmlns="http://schemas.openxmlformats.org/package/2006/relationships"><Relationship Type="http://schemas.openxmlformats.org/officeDocument/2006/relationships/table" Target="/xl/tables/table4.xml" Id="Re05a1556af43462f" /></Relationships>
</file>

<file path=xl/worksheets/_rels/sheet5.xml.rels>&#65279;<?xml version="1.0" encoding="utf-8"?><Relationships xmlns="http://schemas.openxmlformats.org/package/2006/relationships"><Relationship Type="http://schemas.openxmlformats.org/officeDocument/2006/relationships/table" Target="/xl/tables/table5.xml" Id="Reff5069e12bd48b5" /></Relationships>
</file>

<file path=xl/worksheets/_rels/sheet7.xml.rels>&#65279;<?xml version="1.0" encoding="utf-8"?><Relationships xmlns="http://schemas.openxmlformats.org/package/2006/relationships"><Relationship Type="http://schemas.openxmlformats.org/officeDocument/2006/relationships/table" Target="/xl/tables/table6.xml" Id="Ra1191d2b19fc4356" /></Relationships>
</file>

<file path=xl/worksheets/_rels/sheet8.xml.rels>&#65279;<?xml version="1.0" encoding="utf-8"?><Relationships xmlns="http://schemas.openxmlformats.org/package/2006/relationships"><Relationship Type="http://schemas.openxmlformats.org/officeDocument/2006/relationships/table" Target="/xl/tables/table7.xml" Id="Rc475f38260e8474e" /></Relationships>
</file>

<file path=xl/worksheets/_rels/sheet9.xml.rels>&#65279;<?xml version="1.0" encoding="utf-8"?><Relationships xmlns="http://schemas.openxmlformats.org/package/2006/relationships"><Relationship Type="http://schemas.openxmlformats.org/officeDocument/2006/relationships/table" Target="/xl/tables/table8.xml" Id="Rbef0d2fcc5584587" /></Relationships>
</file>

<file path=xl/worksheets/_rels/sheet10.xml.rels>&#65279;<?xml version="1.0" encoding="utf-8"?><Relationships xmlns="http://schemas.openxmlformats.org/package/2006/relationships"><Relationship Type="http://schemas.openxmlformats.org/officeDocument/2006/relationships/table" Target="/xl/tables/table9.xml" Id="Ra9d884ee5853468b" /></Relationships>
</file>

<file path=xl/worksheets/_rels/sheet11.xml.rels>&#65279;<?xml version="1.0" encoding="utf-8"?><Relationships xmlns="http://schemas.openxmlformats.org/package/2006/relationships"><Relationship Type="http://schemas.openxmlformats.org/officeDocument/2006/relationships/table" Target="/xl/tables/table10.xml" Id="R20a0c6c99f224414" /></Relationships>
</file>

<file path=xl/worksheets/_rels/sheet12.xml.rels>&#65279;<?xml version="1.0" encoding="utf-8"?><Relationships xmlns="http://schemas.openxmlformats.org/package/2006/relationships"><Relationship Type="http://schemas.openxmlformats.org/officeDocument/2006/relationships/table" Target="/xl/tables/table11.xml" Id="R37b0816f9e3642d5" /></Relationships>
</file>

<file path=xl/worksheets/_rels/sheet13.xml.rels>&#65279;<?xml version="1.0" encoding="utf-8"?><Relationships xmlns="http://schemas.openxmlformats.org/package/2006/relationships"><Relationship Type="http://schemas.openxmlformats.org/officeDocument/2006/relationships/table" Target="/xl/tables/table12.xml" Id="Rcd106ac518b84cb0" /></Relationships>
</file>

<file path=xl/worksheets/_rels/sheet14.xml.rels>&#65279;<?xml version="1.0" encoding="utf-8"?><Relationships xmlns="http://schemas.openxmlformats.org/package/2006/relationships"><Relationship Type="http://schemas.openxmlformats.org/officeDocument/2006/relationships/table" Target="/xl/tables/table13.xml" Id="R21db26dea11f4efd" /></Relationships>
</file>

<file path=xl/worksheets/_rels/sheet15.xml.rels>&#65279;<?xml version="1.0" encoding="utf-8"?><Relationships xmlns="http://schemas.openxmlformats.org/package/2006/relationships"><Relationship Type="http://schemas.openxmlformats.org/officeDocument/2006/relationships/table" Target="/xl/tables/table14.xml" Id="Rde776916e9c74622" /></Relationships>
</file>

<file path=xl/worksheets/_rels/sheet16.xml.rels>&#65279;<?xml version="1.0" encoding="utf-8"?><Relationships xmlns="http://schemas.openxmlformats.org/package/2006/relationships"><Relationship Type="http://schemas.openxmlformats.org/officeDocument/2006/relationships/drawing" Target="/xl/drawings/drawing1.xml" Id="R3fc913619d554f2b" /><Relationship Type="http://schemas.openxmlformats.org/officeDocument/2006/relationships/table" Target="/xl/tables/table15.xml" Id="Re0ae02e96a8e4703" /></Relationships>
</file>

<file path=xl/worksheets/_rels/sheet17.xml.rels>&#65279;<?xml version="1.0" encoding="utf-8"?><Relationships xmlns="http://schemas.openxmlformats.org/package/2006/relationships"><Relationship Type="http://schemas.openxmlformats.org/officeDocument/2006/relationships/table" Target="/xl/tables/table16.xml" Id="R68dab5d3e18a4daf" /></Relationships>
</file>

<file path=xl/worksheets/_rels/sheet18.xml.rels>&#65279;<?xml version="1.0" encoding="utf-8"?><Relationships xmlns="http://schemas.openxmlformats.org/package/2006/relationships"><Relationship Type="http://schemas.openxmlformats.org/officeDocument/2006/relationships/table" Target="/xl/tables/table17.xml" Id="Raab345ea953d4216" /></Relationships>
</file>

<file path=xl/worksheets/_rels/sheet19.xml.rels>&#65279;<?xml version="1.0" encoding="utf-8"?><Relationships xmlns="http://schemas.openxmlformats.org/package/2006/relationships"><Relationship Type="http://schemas.openxmlformats.org/officeDocument/2006/relationships/table" Target="/xl/tables/table18.xml" Id="Rb6480711cf884453" /></Relationships>
</file>

<file path=xl/worksheets/_rels/sheet20.xml.rels>&#65279;<?xml version="1.0" encoding="utf-8"?><Relationships xmlns="http://schemas.openxmlformats.org/package/2006/relationships"><Relationship Type="http://schemas.openxmlformats.org/officeDocument/2006/relationships/table" Target="/xl/tables/table19.xml" Id="R3007cd2ae8854cb3" /></Relationships>
</file>

<file path=xl/worksheets/_rels/sheet21.xml.rels>&#65279;<?xml version="1.0" encoding="utf-8"?><Relationships xmlns="http://schemas.openxmlformats.org/package/2006/relationships"><Relationship Type="http://schemas.openxmlformats.org/officeDocument/2006/relationships/table" Target="/xl/tables/table20.xml" Id="R689e393ac29c4b38" /></Relationships>
</file>

<file path=xl/worksheets/_rels/sheet26.xml.rels>&#65279;<?xml version="1.0" encoding="utf-8"?><Relationships xmlns="http://schemas.openxmlformats.org/package/2006/relationships"><Relationship Type="http://schemas.openxmlformats.org/officeDocument/2006/relationships/comments" Target="/xl/comments1.xml" Id="Rd6909ae3881c4fae" /><Relationship Type="http://schemas.openxmlformats.org/officeDocument/2006/relationships/vmlDrawing" Target="/xl/drawings/vmldrawing.vml" Id="Rea7f34eaa76d4355" /><Relationship Type="http://schemas.microsoft.com/office/2017/10/relationships/threadedComment" Target="/xl/threadedcomments/threadedcomment.xml" Id="R41e1e3e8b0f442cf" /></Relationships>
</file>

<file path=xl/worksheets/_rels/sheet27.xml.rels>&#65279;<?xml version="1.0" encoding="utf-8"?><Relationships xmlns="http://schemas.openxmlformats.org/package/2006/relationships"><Relationship Type="http://schemas.openxmlformats.org/officeDocument/2006/relationships/drawing" Target="/xl/drawings/drawing2.xml" Id="R7225b21e2fe648f2" /></Relationships>
</file>

<file path=xl/worksheets/sheet1.xml><?xml version="1.0" encoding="utf-8"?>
<x:worksheet xmlns:x="http://schemas.openxmlformats.org/spreadsheetml/2006/main">
  <x:sheetViews>
    <x:sheetView showGridLines="0" workbookViewId="0"/>
  </x:sheetViews>
  <x:sheetFormatPr defaultRowHeight="15"/>
  <x:cols>
    <x:col min="1" max="1" width="26" hidden="0" customWidth="1"/>
    <x:col min="2" max="2" width="110" hidden="0" customWidth="1"/>
  </x:cols>
  <x:sheetData>
    <x:row r="1" ht="30" customHeight="1">
      <x:c r="A1" s="35" t="str">
        <x:v>00 READ ME</x:v>
      </x:c>
      <x:c r="B1" s="36"/>
    </x:row>
    <x:row r="2" ht="30" customHeight="1">
      <x:c r="A2" s="26" t="str">
        <x:v>Audit snapshot · 2026-07-30 (Asia/Riyadh) · commit ada62124</x:v>
      </x:c>
      <x:c r="B2" s="26" t="str"/>
    </x:row>
    <x:row r="3" ht="30" customHeight="1">
      <x:c r="A3" s="25"/>
      <x:c r="B3" s="25"/>
    </x:row>
    <x:row r="4" ht="30" customHeight="1">
      <x:c r="A4" s="27" t="str">
        <x:v>Item</x:v>
      </x:c>
      <x:c r="B4" s="27" t="str">
        <x:v>Detail</x:v>
      </x:c>
    </x:row>
    <x:row r="5" ht="30" customHeight="1">
      <x:c r="A5" s="28" t="str">
        <x:v>Audit objective</x:v>
      </x:c>
      <x:c r="B5" s="28" t="str">
        <x:v>Reconstruct materially unique desktop/web persona-to-outcome journeys and trace UI, workflow, data, permissions, evidence, breakpoints and remediation.</x:v>
      </x:c>
    </x:row>
    <x:row r="6" ht="30" customHeight="1">
      <x:c r="A6" s="28" t="str">
        <x:v>Scope</x:v>
      </x:c>
      <x:c r="B6" s="28" t="str">
        <x:v>Connected Inspection repository at exact commit; desktop/web routes; shared dependencies that affect desktop outcomes; specified Drive folder artifacts.</x:v>
      </x:c>
    </x:row>
    <x:row r="7" ht="30" customHeight="1">
      <x:c r="A7" s="28" t="str">
        <x:v>Exclusions</x:v>
      </x:c>
      <x:c r="B7" s="28" t="str">
        <x:v>iPad-native and PWA-only execution except shared dependencies; no application source/database mutation; no production claims.</x:v>
      </x:c>
    </x:row>
    <x:row r="8" ht="30" customHeight="1">
      <x:c r="A8" s="28" t="str">
        <x:v>Repository / branch / commit</x:v>
      </x:c>
      <x:c r="B8" s="28" t="str">
        <x:v>https://github.com/Vikram-Indla/Inspection · main · ada62124c5f8c8066cec397dc70fab31be9b0c7d</x:v>
      </x:c>
    </x:row>
    <x:row r="9" ht="30" customHeight="1">
      <x:c r="A9" s="28" t="str">
        <x:v>Analysis timestamp</x:v>
      </x:c>
      <x:c r="B9" s="28" t="str">
        <x:v>2026-07-30 (Asia/Riyadh)</x:v>
      </x:c>
    </x:row>
    <x:row r="10" ht="30" customHeight="1">
      <x:c r="A10" s="28" t="str">
        <x:v>Environment tested</x:v>
      </x:c>
      <x:c r="B10" s="28" t="str">
        <x:v>Local production build backed by configured staging endpoint; login and protected-route guard only. No database writes.</x:v>
      </x:c>
    </x:row>
    <x:row r="11" ht="30" customHeight="1">
      <x:c r="A11" s="28" t="str">
        <x:v>Evidence standard</x:v>
      </x:c>
      <x:c r="B11" s="28" t="str">
        <x:v>Code/build/document evidence is static; runtime screenshots prove only rendered states observed; unproven claims say Cannot confirm from available evidence.</x:v>
      </x:c>
    </x:row>
    <x:row r="12" ht="30" customHeight="1">
      <x:c r="A12" s="28" t="str">
        <x:v>Status definitions</x:v>
      </x:c>
      <x:c r="B12" s="28" t="str">
        <x:v>IMPLEMENTED AND VERIFIED; IMPLEMENTED BUT BROKEN; PARTIALLY IMPLEMENTED; DOCUMENTED/DESIGNED BUT NOT IMPLEMENTED; IMPLEMENTED BUT UNDOCUMENTED; INFERRED; NOT FOUND; BLOCKED.</x:v>
      </x:c>
    </x:row>
    <x:row r="13" ht="30" customHeight="1">
      <x:c r="A13" s="28" t="str">
        <x:v>Severity definitions</x:v>
      </x:c>
      <x:c r="B13" s="28" t="str">
        <x:v>P0 core journey/data/security/regulatory blocker; P1 major outcome blocker; P2 significant friction/secondary gap; P3 minor issue.</x:v>
      </x:c>
    </x:row>
    <x:row r="14" ht="30" customHeight="1">
      <x:c r="A14" s="28" t="str">
        <x:v>Limitations</x:v>
      </x:c>
      <x:c r="B14" s="28" t="str">
        <x:v>Authentication unavailable; no disposable fixture/reset contract; full 478-row requirement and 142-table row-level mapping not completed; no mutating E2E suite run.</x:v>
      </x:c>
    </x:row>
    <x:row r="15" ht="30" customHeight="1">
      <x:c r="A15" s="28" t="str">
        <x:v>Completion declaration</x:v>
      </x:c>
      <x:c r="B15" s="28" t="str">
        <x:v>PARTIAL — defensible static reconstruction and runtime blocker evidence; material runtime, requirement, table, mutation and state coverage remains open.</x:v>
      </x:c>
    </x:row>
    <x:row r="16" ht="30" customHeight="1">
      <x:c r="A16" s="28" t="str">
        <x:v>Workbook navigation</x:v>
      </x:c>
      <x:c r="B16" s="28" t="str">
        <x:v>Start with 01 Executive Diagnosis; use Journey IDs to follow 03→04→07→11→14; screenshots in 15; coverage and certificate in 16/20.</x:v>
      </x:c>
    </x:row>
    <x:row r="17" ht="30" customHeight="1">
      <x:c r="A17" s="28" t="str">
        <x:v>Drive evidence folder</x:v>
      </x:c>
      <x:c r="B17" s="28" t="str">
        <x:v>https://drive.google.com/drive/folders/1wmMUVDn-7g4B051YP_qCMOXJs_N92Q43</x:v>
      </x:c>
    </x:row>
  </x:sheetData>
  <x:mergeCells>
    <x:mergeCell ref="A1:B1"/>
  </x:mergeCells>
  <x:pageMargins left="0.7" right="0.7" top="0.75" bottom="0.75" header="0.3" footer="0.3"/>
  <x:tableParts count="1">
    <x:tablePart xmlns:r="http://schemas.openxmlformats.org/officeDocument/2006/relationships" r:id="R312247ea969042a0"/>
  </x:tableParts>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30" hidden="0" customWidth="1"/>
    <x:col min="3" max="3" width="90" hidden="0" customWidth="1"/>
  </x:cols>
  <x:sheetData>
    <x:row r="1" ht="30" customHeight="1">
      <x:c r="A1" s="35" t="str">
        <x:v>01 EXECUTIVE DIAGNOSIS</x:v>
      </x:c>
      <x:c r="B1" s="36"/>
      <x:c r="C1" s="36"/>
    </x:row>
    <x:row r="2" ht="30" customHeight="1">
      <x:c r="A2" s="26" t="str">
        <x:v>Audit snapshot · 2026-07-30 (Asia/Riyadh) · commit ada62124</x:v>
      </x:c>
      <x:c r="B2" s="26" t="str"/>
      <x:c r="C2" s="26" t="str"/>
    </x:row>
    <x:row r="3" ht="30" customHeight="1">
      <x:c r="A3" s="25"/>
      <x:c r="B3" s="25"/>
      <x:c r="C3" s="25"/>
    </x:row>
    <x:row r="4" ht="30" customHeight="1">
      <x:c r="A4" s="27" t="str">
        <x:v>Metric</x:v>
      </x:c>
      <x:c r="B4" s="27" t="str">
        <x:v>Value</x:v>
      </x:c>
      <x:c r="C4" s="27" t="str">
        <x:v>Evidence / interpretation</x:v>
      </x:c>
    </x:row>
    <x:row r="5" ht="30" customHeight="1">
      <x:c r="A5" s="28" t="str">
        <x:v>Total personas</x:v>
      </x:c>
      <x:c r="B5" s="28" t="n">
        <x:v>12</x:v>
      </x:c>
      <x:c r="C5" s="28" t="str">
        <x:v>02_PERSONA_REGISTER</x:v>
      </x:c>
    </x:row>
    <x:row r="6" ht="30" customHeight="1">
      <x:c r="A6" s="28" t="str">
        <x:v>Total unique journeys</x:v>
      </x:c>
      <x:c r="B6" s="28" t="n">
        <x:v>22</x:v>
      </x:c>
      <x:c r="C6" s="28" t="str">
        <x:v>03_JOURNEY_MASTER</x:v>
      </x:c>
    </x:row>
    <x:row r="7" ht="30" customHeight="1">
      <x:c r="A7" s="28" t="str">
        <x:v>Fully executable journeys</x:v>
      </x:c>
      <x:c r="B7" s="28" t="n">
        <x:v>0</x:v>
      </x:c>
      <x:c r="C7" s="28" t="str">
        <x:v>No journey was runtime-completed end-to-end</x:v>
      </x:c>
    </x:row>
    <x:row r="8" ht="30" customHeight="1">
      <x:c r="A8" s="28" t="str">
        <x:v>Partially executable journeys</x:v>
      </x:c>
      <x:c r="B8" s="28" t="n">
        <x:v>6</x:v>
      </x:c>
      <x:c r="C8" s="28" t="str">
        <x:v>Static implementation/evidence exists; runtime incomplete</x:v>
      </x:c>
    </x:row>
    <x:row r="9" ht="30" customHeight="1">
      <x:c r="A9" s="28" t="str">
        <x:v>Blocked journeys</x:v>
      </x:c>
      <x:c r="B9" s="28" t="n">
        <x:v>10</x:v>
      </x:c>
      <x:c r="C9" s="28" t="str">
        <x:v>Authentication, data, workflow or configuration blockers</x:v>
      </x:c>
    </x:row>
    <x:row r="10" ht="30" customHeight="1">
      <x:c r="A10" s="28" t="str">
        <x:v>Unverified journeys</x:v>
      </x:c>
      <x:c r="B10" s="28" t="n">
        <x:v>6</x:v>
      </x:c>
      <x:c r="C10" s="28" t="str">
        <x:v>Static route exists but outcome not executed</x:v>
      </x:c>
    </x:row>
    <x:row r="11" ht="30" customHeight="1">
      <x:c r="A11" s="28" t="str">
        <x:v>P0 findings</x:v>
      </x:c>
      <x:c r="B11" s="28" t="n">
        <x:v>7</x:v>
      </x:c>
      <x:c r="C11" s="28" t="str">
        <x:v>11_BREAKPOINT_REGISTER</x:v>
      </x:c>
    </x:row>
    <x:row r="12" ht="30" customHeight="1">
      <x:c r="A12" s="28" t="str">
        <x:v>P1 findings</x:v>
      </x:c>
      <x:c r="B12" s="28" t="n">
        <x:v>6</x:v>
      </x:c>
      <x:c r="C12" s="28" t="str">
        <x:v>11_BREAKPOINT_REGISTER</x:v>
      </x:c>
    </x:row>
    <x:row r="13" ht="30" customHeight="1">
      <x:c r="A13" s="28" t="str">
        <x:v>P2 findings</x:v>
      </x:c>
      <x:c r="B13" s="28" t="n">
        <x:v>0</x:v>
      </x:c>
      <x:c r="C13" s="28" t="str">
        <x:v>No lower-severity items prioritized in this partial pass</x:v>
      </x:c>
    </x:row>
    <x:row r="14" ht="30" customHeight="1">
      <x:c r="A14" s="28" t="str">
        <x:v>P3 findings</x:v>
      </x:c>
      <x:c r="B14" s="28" t="n">
        <x:v>0</x:v>
      </x:c>
      <x:c r="C14" s="28" t="str">
        <x:v>No cosmetic findings prioritized</x:v>
      </x:c>
    </x:row>
    <x:row r="15" ht="30" customHeight="1">
      <x:c r="A15" s="28" t="str">
        <x:v>Can an inspector complete one valid visit end-to-end today?</x:v>
      </x:c>
      <x:c r="B15" s="28" t="str">
        <x:v>NO — cannot be proven and core prerequisites are blocked</x:v>
      </x:c>
      <x:c r="C15" s="28" t="str">
        <x:v>Authentication unavailable; publish atomicity unproven; approved-without-version/review defect; corrective owner and external completion gaps</x:v>
      </x:c>
    </x:row>
    <x:row r="16" ht="30" customHeight="1">
      <x:c r="A16" s="28" t="str">
        <x:v>Production-readiness assessment</x:v>
      </x:c>
      <x:c r="B16" s="28" t="str">
        <x:v>NOT READY / PARTIAL EVIDENCE</x:v>
      </x:c>
      <x:c r="C16" s="28" t="str">
        <x:v>Core P0 integrity, identity, configuration, data and runtime verification gaps remain</x:v>
      </x:c>
    </x:row>
    <x:row r="17" ht="30" customHeight="1">
      <x:c r="A17" s="28" t="str">
        <x:v>Top systemic blocker 1</x:v>
      </x:c>
      <x:c r="B17" s="28" t="str">
        <x:v>Persona authentication and safe fixture environment unavailable</x:v>
      </x:c>
      <x:c r="C17" s="28" t="str">
        <x:v>BP-001</x:v>
      </x:c>
    </x:row>
    <x:row r="18" ht="30" customHeight="1">
      <x:c r="A18" s="28" t="str">
        <x:v>Top systemic blocker 2</x:v>
      </x:c>
      <x:c r="B18" s="28" t="str">
        <x:v>Approved inspection exists without immutable version or review</x:v>
      </x:c>
      <x:c r="C18" s="28" t="str">
        <x:v>BP-014</x:v>
      </x:c>
    </x:row>
    <x:row r="19" ht="30" customHeight="1">
      <x:c r="A19" s="28" t="str">
        <x:v>Top systemic blocker 3</x:v>
      </x:c>
      <x:c r="B19" s="28" t="str">
        <x:v>Single-visit publish atomicity/idempotency not proven</x:v>
      </x:c>
      <x:c r="C19" s="28" t="str">
        <x:v>BP-006</x:v>
      </x:c>
    </x:row>
    <x:row r="20" ht="30" customHeight="1">
      <x:c r="A20" s="28" t="str">
        <x:v>Top systemic blocker 4</x:v>
      </x:c>
      <x:c r="B20" s="28" t="str">
        <x:v>Canonical factory identity/location materially incomplete</x:v>
      </x:c>
      <x:c r="C20" s="28" t="str">
        <x:v>BP-005</x:v>
      </x:c>
    </x:row>
    <x:row r="21" ht="30" customHeight="1">
      <x:c r="A21" s="28" t="str">
        <x:v>Top systemic blocker 5</x:v>
      </x:c>
      <x:c r="B21" s="28" t="str">
        <x:v>Admin execution/config prerequisites not runtime proven</x:v>
      </x:c>
      <x:c r="C21" s="28" t="str">
        <x:v>BP-003;BP-004</x:v>
      </x:c>
    </x:row>
    <x:row r="22" ht="30" customHeight="1">
      <x:c r="A22" s="28" t="str">
        <x:v>Recommended sequence</x:v>
      </x:c>
      <x:c r="B22" s="28" t="str">
        <x:v>REM-001 → REM-002 → REM-003 → REM-004 → REM-005 → remaining P1 work</x:v>
      </x:c>
      <x:c r="C22" s="28" t="str">
        <x:v>14_REMEDIATION_BACKLOG</x:v>
      </x:c>
    </x:row>
  </x:sheetData>
  <x:mergeCells>
    <x:mergeCell ref="A1:C1"/>
  </x:mergeCells>
  <x:pageMargins left="0.7" right="0.7" top="0.75" bottom="0.75" header="0.3" footer="0.3"/>
  <x:tableParts count="1">
    <x:tablePart xmlns:r="http://schemas.openxmlformats.org/officeDocument/2006/relationships" r:id="Rc507e3f7d9d2475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15" hidden="0" customWidth="1"/>
    <x:col min="3" max="3" width="19" hidden="0" customWidth="1"/>
    <x:col min="4" max="4" width="13" hidden="0" customWidth="1"/>
    <x:col min="5" max="5" width="18" hidden="0" customWidth="1"/>
    <x:col min="6" max="6" width="30" hidden="0" customWidth="1"/>
    <x:col min="7" max="7" width="23" hidden="0" customWidth="1"/>
    <x:col min="8" max="8" width="16" hidden="0" customWidth="1"/>
    <x:col min="9" max="9" width="18" hidden="0" customWidth="1"/>
    <x:col min="10" max="10" width="17" hidden="0" customWidth="1"/>
    <x:col min="11" max="11" width="25" hidden="0" customWidth="1"/>
    <x:col min="12" max="12" width="24" hidden="0" customWidth="1"/>
    <x:col min="13" max="13" width="23" hidden="0" customWidth="1"/>
    <x:col min="14" max="14" width="14" hidden="0" customWidth="1"/>
    <x:col min="15" max="15" width="20" hidden="0" customWidth="1"/>
    <x:col min="16" max="16" width="20" hidden="0" customWidth="1"/>
    <x:col min="17" max="17" width="25" hidden="0" customWidth="1"/>
    <x:col min="18" max="18" width="18" hidden="0" customWidth="1"/>
  </x:cols>
  <x:sheetData>
    <x:row r="1" ht="30" customHeight="1">
      <x:c r="A1" s="24" t="str">
        <x:v>02 PERSONA REGISTER</x:v>
      </x:c>
      <x:c r="B1" s="25"/>
      <x:c r="C1" s="25"/>
      <x:c r="D1" s="25"/>
      <x:c r="E1" s="25"/>
      <x:c r="F1" s="25"/>
      <x:c r="G1" s="25"/>
      <x:c r="H1" s="25"/>
      <x:c r="I1" s="25"/>
      <x:c r="J1" s="25"/>
      <x:c r="K1" s="25"/>
      <x:c r="L1" s="25"/>
      <x:c r="M1" s="25"/>
      <x:c r="N1" s="25"/>
      <x:c r="O1" s="25"/>
      <x:c r="P1" s="25"/>
      <x:c r="Q1" s="25"/>
      <x:c r="R1" s="25"/>
    </x:row>
    <x:row r="2" ht="30" customHeight="1">
      <x:c r="A2" s="26" t="str">
        <x:v>Audit snapshot · 2026-07-30 (Asia/Riyadh) · commit ada62124</x:v>
      </x:c>
      <x:c r="B2" s="26" t="str"/>
      <x:c r="C2" s="26" t="str"/>
      <x:c r="D2" s="26" t="str"/>
      <x:c r="E2" s="26" t="str"/>
      <x:c r="F2" s="26" t="str"/>
      <x:c r="G2" s="26" t="str"/>
      <x:c r="H2" s="26" t="str"/>
      <x:c r="I2" s="26" t="str"/>
      <x:c r="J2" s="26" t="str"/>
      <x:c r="K2" s="26" t="str"/>
      <x:c r="L2" s="26" t="str"/>
      <x:c r="M2" s="26" t="str"/>
      <x:c r="N2" s="26" t="str"/>
      <x:c r="O2" s="26" t="str"/>
      <x:c r="P2" s="26" t="str"/>
      <x:c r="Q2" s="26" t="str"/>
      <x:c r="R2" s="26" t="str"/>
    </x:row>
    <x:row r="3" ht="30" customHeight="1">
      <x:c r="A3" s="25"/>
      <x:c r="B3" s="25"/>
      <x:c r="C3" s="25"/>
      <x:c r="D3" s="25"/>
      <x:c r="E3" s="25"/>
      <x:c r="F3" s="25"/>
      <x:c r="G3" s="25"/>
      <x:c r="H3" s="25"/>
      <x:c r="I3" s="25"/>
      <x:c r="J3" s="25"/>
      <x:c r="K3" s="25"/>
      <x:c r="L3" s="25"/>
      <x:c r="M3" s="25"/>
      <x:c r="N3" s="25"/>
      <x:c r="O3" s="25"/>
      <x:c r="P3" s="25"/>
      <x:c r="Q3" s="25"/>
      <x:c r="R3" s="25"/>
    </x:row>
    <x:row r="4" ht="30" customHeight="1">
      <x:c r="A4" s="27" t="str">
        <x:v>Persona ID</x:v>
      </x:c>
      <x:c r="B4" s="27" t="str">
        <x:v>Persona name</x:v>
      </x:c>
      <x:c r="C4" s="27" t="str">
        <x:v>Business purpose</x:v>
      </x:c>
      <x:c r="D4" s="27" t="str">
        <x:v>Actor type</x:v>
      </x:c>
      <x:c r="E4" s="27" t="str">
        <x:v>Source evidence</x:v>
      </x:c>
      <x:c r="F4" s="27" t="str">
        <x:v>Role/permission identifiers</x:v>
      </x:c>
      <x:c r="G4" s="27" t="str">
        <x:v>Navigation available</x:v>
      </x:c>
      <x:c r="H4" s="27" t="str">
        <x:v>Objects owned</x:v>
      </x:c>
      <x:c r="I4" s="27" t="str">
        <x:v>Actions allowed</x:v>
      </x:c>
      <x:c r="J4" s="27" t="str">
        <x:v>Actions denied</x:v>
      </x:c>
      <x:c r="K4" s="27" t="str">
        <x:v>Required configuration</x:v>
      </x:c>
      <x:c r="L4" s="27" t="str">
        <x:v>Upstream dependencies</x:v>
      </x:c>
      <x:c r="M4" s="27" t="str">
        <x:v>Downstream consumers</x:v>
      </x:c>
      <x:c r="N4" s="27" t="str">
        <x:v>Entry point</x:v>
      </x:c>
      <x:c r="O4" s="27" t="str">
        <x:v>Expected outcomes</x:v>
      </x:c>
      <x:c r="P4" s="27" t="str">
        <x:v>Current readiness</x:v>
      </x:c>
      <x:c r="Q4" s="27" t="str">
        <x:v>Persona-level blockers</x:v>
      </x:c>
      <x:c r="R4" s="27" t="str">
        <x:v>Repo deep links</x:v>
      </x:c>
    </x:row>
    <x:row r="5" ht="30" customHeight="1">
      <x:c r="A5" s="28" t="str">
        <x:v>PER-ADMIN</x:v>
      </x:c>
      <x:c r="B5" s="28" t="str">
        <x:v>Platform / Compliance Administrator</x:v>
      </x:c>
      <x:c r="C5" s="28" t="str">
        <x:v>Govern identity, access, master data, compliance configuration and engines</x:v>
      </x:c>
      <x:c r="D5" s="28" t="str">
        <x:v>Human</x:v>
      </x:c>
      <x:c r="E5" s="28" t="str">
        <x:v>roles, user_roles, permissions, capabilities; /admin/*</x:v>
      </x:c>
      <x:c r="F5" s="28" t="str">
        <x:v>admin/compliance_admin</x:v>
      </x:c>
      <x:c r="G5" s="28" t="str">
        <x:v>Admin modules</x:v>
      </x:c>
      <x:c r="H5" s="28" t="str">
        <x:v>Configuration requests and reference data</x:v>
      </x:c>
      <x:c r="I5" s="28" t="str">
        <x:v>Configure, submit, publish where authorized</x:v>
      </x:c>
      <x:c r="J5" s="28" t="str">
        <x:v>Operational execution and self-approval</x:v>
      </x:c>
      <x:c r="K5" s="28" t="str">
        <x:v>Verified account, effective capabilities, tenant scope</x:v>
      </x:c>
      <x:c r="L5" s="28" t="str">
        <x:v>Canonical roles and RLS</x:v>
      </x:c>
      <x:c r="M5" s="28" t="str">
        <x:v>All operational personas</x:v>
      </x:c>
      <x:c r="N5" s="28" t="str">
        <x:v>/admin</x:v>
      </x:c>
      <x:c r="O5" s="28" t="str">
        <x:v>Governed configuration</x:v>
      </x:c>
      <x:c r="P5" s="28" t="str">
        <x:v>PARTIALLY IMPLEMENTED</x:v>
      </x:c>
      <x:c r="Q5" s="28" t="str">
        <x:v>Runtime authentication blocked</x:v>
      </x:c>
      <x:c r="R5" s="28" t="str">
        <x:v>https://github.com/Vikram-Indla/Inspection/blob/ada62124c5f8c8066cec397dc70fab31be9b0c7d/apps/web/src/app/(app)/admin/page.tsx</x:v>
      </x:c>
    </x:row>
    <x:row r="6" ht="30" customHeight="1">
      <x:c r="A6" s="28" t="str">
        <x:v>PER-PLANNER</x:v>
      </x:c>
      <x:c r="B6" s="28" t="str">
        <x:v>Planner / Coordinator</x:v>
      </x:c>
      <x:c r="C6" s="28" t="str">
        <x:v>Create, validate, assign and publish inspection visits</x:v>
      </x:c>
      <x:c r="D6" s="28" t="str">
        <x:v>Human</x:v>
      </x:c>
      <x:c r="E6" s="28" t="str">
        <x:v>Planning routes and Planning Blueprint</x:v>
      </x:c>
      <x:c r="F6" s="28" t="str">
        <x:v>planner; planning.view/create/create.single/publish</x:v>
      </x:c>
      <x:c r="G6" s="28" t="str">
        <x:v>/planning, /visits</x:v>
      </x:c>
      <x:c r="H6" s="28" t="str">
        <x:v>visit_plans, visits, assignments</x:v>
      </x:c>
      <x:c r="I6" s="28" t="str">
        <x:v>Draft, validate, publish, reassign where permitted</x:v>
      </x:c>
      <x:c r="J6" s="28" t="str">
        <x:v>Review submitted inspection</x:v>
      </x:c>
      <x:c r="K6" s="28" t="str">
        <x:v>Factory/licence/location, package, inspector capacity</x:v>
      </x:c>
      <x:c r="L6" s="28" t="str">
        <x:v>Admin configuration and canonical master data</x:v>
      </x:c>
      <x:c r="M6" s="28" t="str">
        <x:v>Inspector</x:v>
      </x:c>
      <x:c r="N6" s="28" t="str">
        <x:v>/planning</x:v>
      </x:c>
      <x:c r="O6" s="28" t="str">
        <x:v>Published assigned visit</x:v>
      </x:c>
      <x:c r="P6" s="28" t="str">
        <x:v>PARTIALLY IMPLEMENTED</x:v>
      </x:c>
      <x:c r="Q6" s="28" t="str">
        <x:v>Publish atomicity and runtime unverified</x:v>
      </x:c>
      <x:c r="R6" s="28" t="str">
        <x:v>https://github.com/Vikram-Indla/Inspection/blob/ada62124c5f8c8066cec397dc70fab31be9b0c7d/apps/web/src/app/(app)/planning/page.tsx</x:v>
      </x:c>
    </x:row>
    <x:row r="7" ht="30" customHeight="1">
      <x:c r="A7" s="28" t="str">
        <x:v>PER-PLAN-SUP</x:v>
      </x:c>
      <x:c r="B7" s="28" t="str">
        <x:v>Planning Supervisor</x:v>
      </x:c>
      <x:c r="C7" s="28" t="str">
        <x:v>Return or release planning work and supervise assignment</x:v>
      </x:c>
      <x:c r="D7" s="28" t="str">
        <x:v>Human</x:v>
      </x:c>
      <x:c r="E7" s="28" t="str">
        <x:v>/planning/supervision and Execution BRD role gap</x:v>
      </x:c>
      <x:c r="F7" s="28" t="str">
        <x:v>planning.approve (observed)</x:v>
      </x:c>
      <x:c r="G7" s="28" t="str">
        <x:v>/planning/supervision</x:v>
      </x:c>
      <x:c r="H7" s="28" t="str">
        <x:v>Planning decisions</x:v>
      </x:c>
      <x:c r="I7" s="28" t="str">
        <x:v>Confirm inspector/release submitted visits</x:v>
      </x:c>
      <x:c r="J7" s="28" t="str">
        <x:v>Inspector execution/review approval</x:v>
      </x:c>
      <x:c r="K7" s="28" t="str">
        <x:v>Role decision unresolved</x:v>
      </x:c>
      <x:c r="L7" s="28" t="str">
        <x:v>Planner output</x:v>
      </x:c>
      <x:c r="M7" s="28" t="str">
        <x:v>Planner/Inspector</x:v>
      </x:c>
      <x:c r="N7" s="28" t="str">
        <x:v>/planning/supervision</x:v>
      </x:c>
      <x:c r="O7" s="28" t="str">
        <x:v>Released or returned planning work</x:v>
      </x:c>
      <x:c r="P7" s="28" t="str">
        <x:v>INFERRED — REQUIRES CONFIRMATION</x:v>
      </x:c>
      <x:c r="Q7" s="28" t="str">
        <x:v>Supervisor/Approver relationship open</x:v>
      </x:c>
      <x:c r="R7" s="28" t="str">
        <x:v>https://github.com/Vikram-Indla/Inspection/blob/ada62124c5f8c8066cec397dc70fab31be9b0c7d/apps/web/src/app/(app)/planning/supervision/page.tsx</x:v>
      </x:c>
    </x:row>
    <x:row r="8" ht="30" customHeight="1">
      <x:c r="A8" s="28" t="str">
        <x:v>PER-INSPECTOR</x:v>
      </x:c>
      <x:c r="B8" s="28" t="str">
        <x:v>Inspector</x:v>
      </x:c>
      <x:c r="C8" s="28" t="str">
        <x:v>Prepare, travel to and execute assigned visits</x:v>
      </x:c>
      <x:c r="D8" s="28" t="str">
        <x:v>Human</x:v>
      </x:c>
      <x:c r="E8" s="28" t="str">
        <x:v>field routes, assignments, inspections, evidence</x:v>
      </x:c>
      <x:c r="F8" s="28" t="str">
        <x:v>inspector</x:v>
      </x:c>
      <x:c r="G8" s="28" t="str">
        <x:v>/field/*; shared execution data</x:v>
      </x:c>
      <x:c r="H8" s="28" t="str">
        <x:v>visit_preparations, journey_sessions, inspections, evidence</x:v>
      </x:c>
      <x:c r="I8" s="28" t="str">
        <x:v>Prepare, start, answer, attach, submit</x:v>
      </x:c>
      <x:c r="J8" s="28" t="str">
        <x:v>Plan publishing and formal approval</x:v>
      </x:c>
      <x:c r="K8" s="28" t="str">
        <x:v>Assigned published visit and package</x:v>
      </x:c>
      <x:c r="L8" s="28" t="str">
        <x:v>Planner, admin, identity provider</x:v>
      </x:c>
      <x:c r="M8" s="28" t="str">
        <x:v>Reviewer and corrective-action owner</x:v>
      </x:c>
      <x:c r="N8" s="28" t="str">
        <x:v>/field or /execution</x:v>
      </x:c>
      <x:c r="O8" s="28" t="str">
        <x:v>Submitted inspection</x:v>
      </x:c>
      <x:c r="P8" s="28" t="str">
        <x:v>BLOCKED FROM VERIFICATION</x:v>
      </x:c>
      <x:c r="Q8" s="28" t="str">
        <x:v>Credential/runtime and PWA-only scope boundary</x:v>
      </x:c>
      <x:c r="R8" s="28" t="str">
        <x:v>https://github.com/Vikram-Indla/Inspection/blob/ada62124c5f8c8066cec397dc70fab31be9b0c7d/apps/web/src/app/(app)/field/[visitId]/page.tsx</x:v>
      </x:c>
    </x:row>
    <x:row r="9" ht="30" customHeight="1">
      <x:c r="A9" s="28" t="str">
        <x:v>PER-REVIEWER</x:v>
      </x:c>
      <x:c r="B9" s="28" t="str">
        <x:v>Reviewer / Approver</x:v>
      </x:c>
      <x:c r="C9" s="28" t="str">
        <x:v>Review immutable submissions and approve, reject or return</x:v>
      </x:c>
      <x:c r="D9" s="28" t="str">
        <x:v>Human</x:v>
      </x:c>
      <x:c r="E9" s="28" t="str">
        <x:v>/reviews, reviews and submission_versions</x:v>
      </x:c>
      <x:c r="F9" s="28" t="str">
        <x:v>reviewer/approver</x:v>
      </x:c>
      <x:c r="G9" s="28" t="str">
        <x:v>/reviews</x:v>
      </x:c>
      <x:c r="H9" s="28" t="str">
        <x:v>reviews, returned sections, decisions</x:v>
      </x:c>
      <x:c r="I9" s="28" t="str">
        <x:v>Start review, compare version, decide</x:v>
      </x:c>
      <x:c r="J9" s="28" t="str">
        <x:v>Mutate submitted version</x:v>
      </x:c>
      <x:c r="K9" s="28" t="str">
        <x:v>Submitted immutable version</x:v>
      </x:c>
      <x:c r="L9" s="28" t="str">
        <x:v>Inspector submission and permission</x:v>
      </x:c>
      <x:c r="M9" s="28" t="str">
        <x:v>Inspector, compliance, reporting</x:v>
      </x:c>
      <x:c r="N9" s="28" t="str">
        <x:v>/reviews</x:v>
      </x:c>
      <x:c r="O9" s="28" t="str">
        <x:v>Approved/rejected/returned inspection</x:v>
      </x:c>
      <x:c r="P9" s="28" t="str">
        <x:v>PARTIALLY IMPLEMENTED</x:v>
      </x:c>
      <x:c r="Q9" s="28" t="str">
        <x:v>Runtime authentication blocked</x:v>
      </x:c>
      <x:c r="R9" s="28" t="str">
        <x:v>https://github.com/Vikram-Indla/Inspection/blob/ada62124c5f8c8066cec397dc70fab31be9b0c7d/apps/web/src/app/(app)/reviews/[id]/page.tsx</x:v>
      </x:c>
    </x:row>
    <x:row r="10" ht="30" customHeight="1">
      <x:c r="A10" s="28" t="str">
        <x:v>PER-CA-OWNER</x:v>
      </x:c>
      <x:c r="B10" s="28" t="str">
        <x:v>Corrective-action Owner</x:v>
      </x:c>
      <x:c r="C10" s="28" t="str">
        <x:v>Respond to correction, reinspection or case obligations</x:v>
      </x:c>
      <x:c r="D10" s="28" t="str">
        <x:v>Human/external</x:v>
      </x:c>
      <x:c r="E10" s="28" t="str">
        <x:v>cases/actions and corrective tables</x:v>
      </x:c>
      <x:c r="F10" s="28" t="str">
        <x:v>Cannot confirm from available evidence</x:v>
      </x:c>
      <x:c r="G10" s="28" t="str">
        <x:v>/cases (staff); owner portal not proven</x:v>
      </x:c>
      <x:c r="H10" s="28" t="str">
        <x:v>cases, correction evidence</x:v>
      </x:c>
      <x:c r="I10" s="28" t="str">
        <x:v>Provide remediation evidence where supported</x:v>
      </x:c>
      <x:c r="J10" s="28" t="str">
        <x:v>Inspection approval</x:v>
      </x:c>
      <x:c r="K10" s="28" t="str">
        <x:v>Generated case/action and assigned owner</x:v>
      </x:c>
      <x:c r="L10" s="28" t="str">
        <x:v>Reviewer/compliance decision</x:v>
      </x:c>
      <x:c r="M10" s="28" t="str">
        <x:v>Reviewer/compliance</x:v>
      </x:c>
      <x:c r="N10" s="28" t="str">
        <x:v>Cannot confirm</x:v>
      </x:c>
      <x:c r="O10" s="28" t="str">
        <x:v>Accepted remediation or follow-up</x:v>
      </x:c>
      <x:c r="P10" s="28" t="str">
        <x:v>DOCUMENTED BUT NOT IMPLEMENTED</x:v>
      </x:c>
      <x:c r="Q10" s="28" t="str">
        <x:v>Dedicated owner persona/surface not proven</x:v>
      </x:c>
      <x:c r="R10" s="28" t="str">
        <x:v>https://github.com/Vikram-Indla/Inspection/blob/ada62124c5f8c8066cec397dc70fab31be9b0c7d/apps/web/src/app/(app)/cases/page.tsx</x:v>
      </x:c>
    </x:row>
    <x:row r="11" ht="30" customHeight="1">
      <x:c r="A11" s="28" t="str">
        <x:v>PER-COMPLIANCE</x:v>
      </x:c>
      <x:c r="B11" s="28" t="str">
        <x:v>Compliance Officer</x:v>
      </x:c>
      <x:c r="C11" s="28" t="str">
        <x:v>Govern requests, approvals, violations and enforcement outcomes</x:v>
      </x:c>
      <x:c r="D11" s="28" t="str">
        <x:v>Human</x:v>
      </x:c>
      <x:c r="E11" s="28" t="str">
        <x:v>/compliance, /compliance/approvals, admin requests</x:v>
      </x:c>
      <x:c r="F11" s="28" t="str">
        <x:v>compliance/reviewer</x:v>
      </x:c>
      <x:c r="G11" s="28" t="str">
        <x:v>/compliance, /enforcement-library</x:v>
      </x:c>
      <x:c r="H11" s="28" t="str">
        <x:v>configuration requests, violations, cases</x:v>
      </x:c>
      <x:c r="I11" s="28" t="str">
        <x:v>Review compliance configuration and enforcement records</x:v>
      </x:c>
      <x:c r="J11" s="28" t="str">
        <x:v>Plan/execute inspection</x:v>
      </x:c>
      <x:c r="K11" s="28" t="str">
        <x:v>Approved source configuration and submitted outcomes</x:v>
      </x:c>
      <x:c r="L11" s="28" t="str">
        <x:v>Admin and reviewer</x:v>
      </x:c>
      <x:c r="M11" s="28" t="str">
        <x:v>Management/reporting</x:v>
      </x:c>
      <x:c r="N11" s="28" t="str">
        <x:v>/compliance</x:v>
      </x:c>
      <x:c r="O11" s="28" t="str">
        <x:v>Published configuration or enforcement outcome</x:v>
      </x:c>
      <x:c r="P11" s="28" t="str">
        <x:v>PARTIALLY IMPLEMENTED</x:v>
      </x:c>
      <x:c r="Q11" s="28" t="str">
        <x:v>Several data sources empty</x:v>
      </x:c>
      <x:c r="R11" s="28" t="str">
        <x:v>https://github.com/Vikram-Indla/Inspection/blob/ada62124c5f8c8066cec397dc70fab31be9b0c7d/apps/web/src/app/(app)/compliance/page.tsx</x:v>
      </x:c>
    </x:row>
    <x:row r="12" ht="30" customHeight="1">
      <x:c r="A12" s="28" t="str">
        <x:v>PER-OPS</x:v>
      </x:c>
      <x:c r="B12" s="28" t="str">
        <x:v>Operations Controller</x:v>
      </x:c>
      <x:c r="C12" s="28" t="str">
        <x:v>Monitor national operations, live visits, exceptions and workload</x:v>
      </x:c>
      <x:c r="D12" s="28" t="str">
        <x:v>Human</x:v>
      </x:c>
      <x:c r="E12" s="28" t="str">
        <x:v>/operations, /operations/live</x:v>
      </x:c>
      <x:c r="F12" s="28" t="str">
        <x:v>operations</x:v>
      </x:c>
      <x:c r="G12" s="28" t="str">
        <x:v>/operations, /visits/map, /visits/workload</x:v>
      </x:c>
      <x:c r="H12" s="28" t="str">
        <x:v>Read-only operational views</x:v>
      </x:c>
      <x:c r="I12" s="28" t="str">
        <x:v>Monitor and drill down</x:v>
      </x:c>
      <x:c r="J12" s="28" t="str">
        <x:v>Mutate inspection evidence</x:v>
      </x:c>
      <x:c r="K12" s="28" t="str">
        <x:v>Active visits, locations, provider data</x:v>
      </x:c>
      <x:c r="L12" s="28" t="str">
        <x:v>Planner/Inspector/system</x:v>
      </x:c>
      <x:c r="M12" s="28" t="str">
        <x:v>Leadership</x:v>
      </x:c>
      <x:c r="N12" s="28" t="str">
        <x:v>/operations</x:v>
      </x:c>
      <x:c r="O12" s="28" t="str">
        <x:v>Operational awareness and escalation</x:v>
      </x:c>
      <x:c r="P12" s="28" t="str">
        <x:v>PARTIALLY IMPLEMENTED</x:v>
      </x:c>
      <x:c r="Q12" s="28" t="str">
        <x:v>Runtime unavailable; provider truth conditional</x:v>
      </x:c>
      <x:c r="R12" s="28" t="str">
        <x:v>https://github.com/Vikram-Indla/Inspection/blob/ada62124c5f8c8066cec397dc70fab31be9b0c7d/apps/web/src/app/(app)/operations/page.tsx</x:v>
      </x:c>
    </x:row>
    <x:row r="13" ht="30" customHeight="1">
      <x:c r="A13" s="28" t="str">
        <x:v>PER-EXEC</x:v>
      </x:c>
      <x:c r="B13" s="28" t="str">
        <x:v>Leadership / Executive</x:v>
      </x:c>
      <x:c r="C13" s="28" t="str">
        <x:v>Consume strategic, operational and compliance reporting</x:v>
      </x:c>
      <x:c r="D13" s="28" t="str">
        <x:v>Human</x:v>
      </x:c>
      <x:c r="E13" s="28" t="str">
        <x:v>/dashboard, /analytics</x:v>
      </x:c>
      <x:c r="F13" s="28" t="str">
        <x:v>leadership/operations</x:v>
      </x:c>
      <x:c r="G13" s="28" t="str">
        <x:v>/dashboard, /analytics</x:v>
      </x:c>
      <x:c r="H13" s="28" t="str">
        <x:v>None/read-only</x:v>
      </x:c>
      <x:c r="I13" s="28" t="str">
        <x:v>View KPIs and drill-down</x:v>
      </x:c>
      <x:c r="J13" s="28" t="str">
        <x:v>Operational mutation</x:v>
      </x:c>
      <x:c r="K13" s="28" t="str">
        <x:v>Published KPI configuration and source facts</x:v>
      </x:c>
      <x:c r="L13" s="28" t="str">
        <x:v>All process actors/system</x:v>
      </x:c>
      <x:c r="M13" s="28" t="str">
        <x:v>Decision makers</x:v>
      </x:c>
      <x:c r="N13" s="28" t="str">
        <x:v>/dashboard</x:v>
      </x:c>
      <x:c r="O13" s="28" t="str">
        <x:v>Evidence-backed decision insight</x:v>
      </x:c>
      <x:c r="P13" s="28" t="str">
        <x:v>IMPLEMENTED BUT BROKEN</x:v>
      </x:c>
      <x:c r="Q13" s="28" t="str">
        <x:v>Dashboard config tables are empty</x:v>
      </x:c>
      <x:c r="R13" s="28" t="str">
        <x:v>https://github.com/Vikram-Indla/Inspection/blob/ada62124c5f8c8066cec397dc70fab31be9b0c7d/apps/web/src/app/(app)/dashboard/page.tsx</x:v>
      </x:c>
    </x:row>
    <x:row r="14" ht="30" customHeight="1">
      <x:c r="A14" s="28" t="str">
        <x:v>PER-FACTORY</x:v>
      </x:c>
      <x:c r="B14" s="28" t="str">
        <x:v>Factory Representative / Portal User</x:v>
      </x:c>
      <x:c r="C14" s="28" t="str">
        <x:v>View or respond to factory-facing obligations</x:v>
      </x:c>
      <x:c r="D14" s="28" t="str">
        <x:v>External human</x:v>
      </x:c>
      <x:c r="E14" s="28" t="str">
        <x:v>/portal and factory representative tables</x:v>
      </x:c>
      <x:c r="F14" s="28" t="str">
        <x:v>Cannot confirm from available evidence</x:v>
      </x:c>
      <x:c r="G14" s="28" t="str">
        <x:v>/portal</x:v>
      </x:c>
      <x:c r="H14" s="28" t="str">
        <x:v>factory_representatives, possible cases</x:v>
      </x:c>
      <x:c r="I14" s="28" t="str">
        <x:v>Limited portal actions not proven</x:v>
      </x:c>
      <x:c r="J14" s="28" t="str">
        <x:v>Staff workflow actions</x:v>
      </x:c>
      <x:c r="K14" s="28" t="str">
        <x:v>Invitation/identity and scoped factory relationship</x:v>
      </x:c>
      <x:c r="L14" s="28" t="str">
        <x:v>Admin/factory master data</x:v>
      </x:c>
      <x:c r="M14" s="28" t="str">
        <x:v>Compliance/reviewer</x:v>
      </x:c>
      <x:c r="N14" s="28" t="str">
        <x:v>/portal</x:v>
      </x:c>
      <x:c r="O14" s="28" t="str">
        <x:v>Acknowledgement/response</x:v>
      </x:c>
      <x:c r="P14" s="28" t="str">
        <x:v>NOT FOUND</x:v>
      </x:c>
      <x:c r="Q14" s="28" t="str">
        <x:v>Authentication, permissions and full response journey unproven</x:v>
      </x:c>
      <x:c r="R14" s="28" t="str">
        <x:v>https://github.com/Vikram-Indla/Inspection/blob/ada62124c5f8c8066cec397dc70fab31be9b0c7d/apps/web/src/app/(app)/portal/page.tsx</x:v>
      </x:c>
    </x:row>
    <x:row r="15" ht="30" customHeight="1">
      <x:c r="A15" s="28" t="str">
        <x:v>PER-AUDITOR</x:v>
      </x:c>
      <x:c r="B15" s="28" t="str">
        <x:v>Audit / Security Administrator</x:v>
      </x:c>
      <x:c r="C15" s="28" t="str">
        <x:v>Inspect immutable audit history and access governance</x:v>
      </x:c>
      <x:c r="D15" s="28" t="str">
        <x:v>Human</x:v>
      </x:c>
      <x:c r="E15" s="28" t="str">
        <x:v>/admin/audit, /admin/access</x:v>
      </x:c>
      <x:c r="F15" s="28" t="str">
        <x:v>admin/audit capabilities</x:v>
      </x:c>
      <x:c r="G15" s="28" t="str">
        <x:v>/admin/audit, /admin/access</x:v>
      </x:c>
      <x:c r="H15" s="28" t="str">
        <x:v>Audit views and access records</x:v>
      </x:c>
      <x:c r="I15" s="28" t="str">
        <x:v>Search, filter, governed replay if authorized</x:v>
      </x:c>
      <x:c r="J15" s="28" t="str">
        <x:v>Alter immutable history</x:v>
      </x:c>
      <x:c r="K15" s="28" t="str">
        <x:v>Admin access</x:v>
      </x:c>
      <x:c r="L15" s="28" t="str">
        <x:v>All system actions</x:v>
      </x:c>
      <x:c r="M15" s="28" t="str">
        <x:v>Governance/release</x:v>
      </x:c>
      <x:c r="N15" s="28" t="str">
        <x:v>/admin/audit</x:v>
      </x:c>
      <x:c r="O15" s="28" t="str">
        <x:v>Traceable oversight</x:v>
      </x:c>
      <x:c r="P15" s="28" t="str">
        <x:v>PARTIALLY IMPLEMENTED</x:v>
      </x:c>
      <x:c r="Q15" s="28" t="str">
        <x:v>Runtime permission proof unavailable</x:v>
      </x:c>
      <x:c r="R15" s="28" t="str">
        <x:v>https://github.com/Vikram-Indla/Inspection/blob/ada62124c5f8c8066cec397dc70fab31be9b0c7d/apps/web/src/app/(app)/admin/audit/page.tsx</x:v>
      </x:c>
    </x:row>
    <x:row r="16" ht="30" customHeight="1">
      <x:c r="A16" s="28" t="str">
        <x:v>PER-SYSTEM</x:v>
      </x:c>
      <x:c r="B16" s="28" t="str">
        <x:v>System / Background Actor</x:v>
      </x:c>
      <x:c r="C16" s="28" t="str">
        <x:v>Enforce transitions, expiry, audit, notification and integration delivery</x:v>
      </x:c>
      <x:c r="D16" s="28" t="str">
        <x:v>System</x:v>
      </x:c>
      <x:c r="E16" s="28" t="str">
        <x:v>SQL functions/triggers, scheduled expiry, provider adapters</x:v>
      </x:c>
      <x:c r="F16" s="28" t="str">
        <x:v>service/background authority</x:v>
      </x:c>
      <x:c r="G16" s="28" t="str">
        <x:v>N/A</x:v>
      </x:c>
      <x:c r="H16" s="28" t="str">
        <x:v>audit_events, notifications, lifecycle events</x:v>
      </x:c>
      <x:c r="I16" s="28" t="str">
        <x:v>Validate, queue, expire, integrate</x:v>
      </x:c>
      <x:c r="J16" s="28" t="str">
        <x:v>Invent policy/provider outcome</x:v>
      </x:c>
      <x:c r="K16" s="28" t="str">
        <x:v>Configured jobs and keys</x:v>
      </x:c>
      <x:c r="L16" s="28" t="str">
        <x:v>All actors</x:v>
      </x:c>
      <x:c r="M16" s="28" t="str">
        <x:v>All actors and external providers</x:v>
      </x:c>
      <x:c r="N16" s="28" t="str">
        <x:v>Background</x:v>
      </x:c>
      <x:c r="O16" s="28" t="str">
        <x:v>Persisted governed side effects</x:v>
      </x:c>
      <x:c r="P16" s="28" t="str">
        <x:v>PARTIALLY IMPLEMENTED</x:v>
      </x:c>
      <x:c r="Q16" s="28" t="str">
        <x:v>Provider trigger decisions and delivery proof gaps</x:v>
      </x:c>
      <x:c r="R16" s="28" t="str">
        <x:v>https://github.com/Vikram-Indla/Inspection/blob/ada62124c5f8c8066cec397dc70fab31be9b0c7d/apps/web/src/lib/integrations/senaei/adapters/inspection-submission.ts</x:v>
      </x:c>
    </x:row>
  </x:sheetData>
  <x:mergeCells>
    <x:mergeCell ref="A1:R1"/>
  </x:mergeCells>
  <x:pageMargins left="0.7" right="0.7" top="0.75" bottom="0.75" header="0.3" footer="0.3"/>
  <x:tableParts count="1">
    <x:tablePart xmlns:r="http://schemas.openxmlformats.org/officeDocument/2006/relationships" r:id="Rdea9d2324e9e4f0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12" hidden="0" customWidth="1"/>
    <x:col min="3" max="3" width="16" hidden="0" customWidth="1"/>
    <x:col min="4" max="4" width="15" hidden="0" customWidth="1"/>
    <x:col min="5" max="5" width="21" hidden="0" customWidth="1"/>
    <x:col min="6" max="6" width="12" hidden="0" customWidth="1"/>
    <x:col min="7" max="7" width="17" hidden="0" customWidth="1"/>
    <x:col min="8" max="8" width="16" hidden="0" customWidth="1"/>
    <x:col min="9" max="9" width="31" hidden="0" customWidth="1"/>
    <x:col min="10" max="10" width="28" hidden="0" customWidth="1"/>
    <x:col min="11" max="11" width="14" hidden="0" customWidth="1"/>
    <x:col min="12" max="12" width="19" hidden="0" customWidth="1"/>
    <x:col min="13" max="13" width="13" hidden="0" customWidth="1"/>
    <x:col min="14" max="14" width="27" hidden="0" customWidth="1"/>
    <x:col min="15" max="15" width="18" hidden="0" customWidth="1"/>
    <x:col min="16" max="16" width="18" hidden="0" customWidth="1"/>
    <x:col min="17" max="17" width="17" hidden="0" customWidth="1"/>
    <x:col min="18" max="18" width="25" hidden="0" customWidth="1"/>
    <x:col min="19" max="19" width="23" hidden="0" customWidth="1"/>
    <x:col min="20" max="20" width="23" hidden="0" customWidth="1"/>
    <x:col min="21" max="21" width="22" hidden="0" customWidth="1"/>
    <x:col min="22" max="22" width="20" hidden="0" customWidth="1"/>
    <x:col min="23" max="23" width="24" hidden="0" customWidth="1"/>
    <x:col min="24" max="24" width="18" hidden="0" customWidth="1"/>
  </x:cols>
  <x:sheetData>
    <x:row r="1" ht="30" customHeight="1">
      <x:c r="A1" s="24" t="str">
        <x:v>03 JOURNEY MASTER</x:v>
      </x:c>
      <x:c r="B1" s="25"/>
      <x:c r="C1" s="25"/>
      <x:c r="D1" s="25"/>
      <x:c r="E1" s="25"/>
      <x:c r="F1" s="25"/>
      <x:c r="G1" s="25"/>
      <x:c r="H1" s="25"/>
      <x:c r="I1" s="25"/>
      <x:c r="J1" s="25"/>
      <x:c r="K1" s="25"/>
      <x:c r="L1" s="25"/>
      <x:c r="M1" s="25"/>
      <x:c r="N1" s="25"/>
      <x:c r="O1" s="25"/>
      <x:c r="P1" s="25"/>
      <x:c r="Q1" s="25"/>
      <x:c r="R1" s="25"/>
      <x:c r="S1" s="25"/>
      <x:c r="T1" s="25"/>
      <x:c r="U1" s="25"/>
      <x:c r="V1" s="25"/>
      <x:c r="W1" s="25"/>
      <x:c r="X1" s="25"/>
    </x:row>
    <x:row r="2" ht="30" customHeight="1">
      <x:c r="A2" s="26" t="str">
        <x:v>Audit snapshot · 2026-07-30 (Asia/Riyadh) · commit ada62124</x:v>
      </x:c>
      <x:c r="B2" s="26" t="str"/>
      <x:c r="C2" s="26" t="str"/>
      <x:c r="D2" s="26" t="str"/>
      <x:c r="E2" s="26" t="str"/>
      <x:c r="F2" s="26" t="str"/>
      <x:c r="G2" s="26" t="str"/>
      <x:c r="H2" s="26" t="str"/>
      <x:c r="I2" s="26" t="str"/>
      <x:c r="J2" s="26" t="str"/>
      <x:c r="K2" s="26" t="str"/>
      <x:c r="L2" s="26" t="str"/>
      <x:c r="M2" s="26" t="str"/>
      <x:c r="N2" s="26" t="str"/>
      <x:c r="O2" s="26" t="str"/>
      <x:c r="P2" s="26" t="str"/>
      <x:c r="Q2" s="26" t="str"/>
      <x:c r="R2" s="26" t="str"/>
      <x:c r="S2" s="26" t="str"/>
      <x:c r="T2" s="26" t="str"/>
      <x:c r="U2" s="26" t="str"/>
      <x:c r="V2" s="26" t="str"/>
      <x:c r="W2" s="26" t="str"/>
      <x:c r="X2" s="26" t="str"/>
    </x:row>
    <x:row r="3" ht="30" customHeight="1">
      <x:c r="A3" s="25"/>
      <x:c r="B3" s="25"/>
      <x:c r="C3" s="25"/>
      <x:c r="D3" s="25"/>
      <x:c r="E3" s="25"/>
      <x:c r="F3" s="25"/>
      <x:c r="G3" s="25"/>
      <x:c r="H3" s="25"/>
      <x:c r="I3" s="25"/>
      <x:c r="J3" s="25"/>
      <x:c r="K3" s="25"/>
      <x:c r="L3" s="25"/>
      <x:c r="M3" s="25"/>
      <x:c r="N3" s="25"/>
      <x:c r="O3" s="25"/>
      <x:c r="P3" s="25"/>
      <x:c r="Q3" s="25"/>
      <x:c r="R3" s="25"/>
      <x:c r="S3" s="25"/>
      <x:c r="T3" s="25"/>
      <x:c r="U3" s="25"/>
      <x:c r="V3" s="25"/>
      <x:c r="W3" s="25"/>
      <x:c r="X3" s="25"/>
    </x:row>
    <x:row r="4" ht="30" customHeight="1">
      <x:c r="A4" s="27" t="str">
        <x:v>Journey ID</x:v>
      </x:c>
      <x:c r="B4" s="27" t="str">
        <x:v>Persona</x:v>
      </x:c>
      <x:c r="C4" s="27" t="str">
        <x:v>Domain/module</x:v>
      </x:c>
      <x:c r="D4" s="27" t="str">
        <x:v>Journey name</x:v>
      </x:c>
      <x:c r="E4" s="27" t="str">
        <x:v>Business objective</x:v>
      </x:c>
      <x:c r="F4" s="27" t="str">
        <x:v>Trigger</x:v>
      </x:c>
      <x:c r="G4" s="27" t="str">
        <x:v>Starting state</x:v>
      </x:c>
      <x:c r="H4" s="27" t="str">
        <x:v>Preconditions</x:v>
      </x:c>
      <x:c r="I4" s="27" t="str">
        <x:v>Required admin configuration</x:v>
      </x:c>
      <x:c r="J4" s="27" t="str">
        <x:v>Required upstream records</x:v>
      </x:c>
      <x:c r="K4" s="27" t="str">
        <x:v>Entry route</x:v>
      </x:c>
      <x:c r="L4" s="27" t="str">
        <x:v>Terminal outcome</x:v>
      </x:c>
      <x:c r="M4" s="27" t="str">
        <x:v>End status</x:v>
      </x:c>
      <x:c r="N4" s="27" t="str">
        <x:v>Positive path available?</x:v>
      </x:c>
      <x:c r="O4" s="27" t="str">
        <x:v>Alternate paths</x:v>
      </x:c>
      <x:c r="P4" s="27" t="str">
        <x:v>Exception paths</x:v>
      </x:c>
      <x:c r="Q4" s="27" t="str">
        <x:v>Runtime status</x:v>
      </x:c>
      <x:c r="R4" s="27" t="str">
        <x:v>Journey completeness %</x:v>
      </x:c>
      <x:c r="S4" s="27" t="str">
        <x:v>Business criticality</x:v>
      </x:c>
      <x:c r="T4" s="27" t="str">
        <x:v>Production readiness</x:v>
      </x:c>
      <x:c r="U4" s="27" t="str">
        <x:v>Primary blocker IDs</x:v>
      </x:c>
      <x:c r="V4" s="27" t="str">
        <x:v>Evidence strength</x:v>
      </x:c>
      <x:c r="W4" s="27" t="str">
        <x:v>Screenshot references</x:v>
      </x:c>
      <x:c r="X4" s="27" t="str">
        <x:v>Repo deep links</x:v>
      </x:c>
    </x:row>
    <x:row r="5" ht="30" customHeight="1">
      <x:c r="A5" s="28" t="str">
        <x:v>JRN-ADMIN-IAM-001</x:v>
      </x:c>
      <x:c r="B5" s="28" t="str">
        <x:v>Platform / Compliance Administrator</x:v>
      </x:c>
      <x:c r="C5" s="28" t="str">
        <x:v>Identity</x:v>
      </x:c>
      <x:c r="D5" s="28" t="str">
        <x:v>Provision user and effective role/capability</x:v>
      </x:c>
      <x:c r="E5" s="28" t="str">
        <x:v>Make a persona operational</x:v>
      </x:c>
      <x:c r="F5" s="28" t="str">
        <x:v>New staff/actor</x:v>
      </x:c>
      <x:c r="G5" s="28" t="str">
        <x:v>No usable account</x:v>
      </x:c>
      <x:c r="H5" s="28" t="str">
        <x:v>Verified identity provider; tenant scope</x:v>
      </x:c>
      <x:c r="I5" s="28" t="str">
        <x:v>Roles, capabilities, RLS</x:v>
      </x:c>
      <x:c r="J5" s="28" t="str">
        <x:v>Profile/user prerequisites</x:v>
      </x:c>
      <x:c r="K5" s="28" t="str">
        <x:v>/admin/access</x:v>
      </x:c>
      <x:c r="L5" s="28" t="str">
        <x:v>Scoped active persona</x:v>
      </x:c>
      <x:c r="M5" s="28" t="str">
        <x:v>active</x:v>
      </x:c>
      <x:c r="N5" s="28" t="str">
        <x:v>No</x:v>
      </x:c>
      <x:c r="O5" s="28" t="str">
        <x:v>Deny/conditional grants</x:v>
      </x:c>
      <x:c r="P5" s="28" t="str">
        <x:v>Directory unavailable; duplicate role</x:v>
      </x:c>
      <x:c r="Q5" s="28" t="str">
        <x:v>BLOCKED</x:v>
      </x:c>
      <x:c r="R5" s="28" t="str">
        <x:v>0</x:v>
      </x:c>
      <x:c r="S5" s="28" t="str">
        <x:v>High</x:v>
      </x:c>
      <x:c r="T5" s="28" t="str">
        <x:v>Not ready</x:v>
      </x:c>
      <x:c r="U5" s="28" t="str">
        <x:v>BP-001;BP-002</x:v>
      </x:c>
      <x:c r="V5" s="28" t="str">
        <x:v>Strong static + runtime</x:v>
      </x:c>
      <x:c r="W5" s="28" t="str">
        <x:v>SCR-001;SCR-002</x:v>
      </x:c>
      <x:c r="X5" s="28" t="str">
        <x:v>https://github.com/Vikram-Indla/Inspection/blob/ada62124c5f8c8066cec397dc70fab31be9b0c7d/apps/web/src/app/(app)/admin/access/page.tsx</x:v>
      </x:c>
    </x:row>
    <x:row r="6" ht="30" customHeight="1">
      <x:c r="A6" s="28" t="str">
        <x:v>JRN-ADMIN-CONFIG-001</x:v>
      </x:c>
      <x:c r="B6" s="28" t="str">
        <x:v>Platform / Compliance Administrator</x:v>
      </x:c>
      <x:c r="C6" s="28" t="str">
        <x:v>Compliance</x:v>
      </x:c>
      <x:c r="D6" s="28" t="str">
        <x:v>Create and publish compliance configuration</x:v>
      </x:c>
      <x:c r="E6" s="28" t="str">
        <x:v>Supply governed inspection content</x:v>
      </x:c>
      <x:c r="F6" s="28" t="str">
        <x:v>Policy/configuration change</x:v>
      </x:c>
      <x:c r="G6" s="28" t="str">
        <x:v>Draft request</x:v>
      </x:c>
      <x:c r="H6" s="28" t="str">
        <x:v>Maker/checker roles</x:v>
      </x:c>
      <x:c r="I6" s="28" t="str">
        <x:v>Regulations, items, packages, workflows</x:v>
      </x:c>
      <x:c r="J6" s="28" t="str">
        <x:v>Approved source artifacts</x:v>
      </x:c>
      <x:c r="K6" s="28" t="str">
        <x:v>/admin/compliance-requests/new</x:v>
      </x:c>
      <x:c r="L6" s="28" t="str">
        <x:v>Published version</x:v>
      </x:c>
      <x:c r="M6" s="28" t="str">
        <x:v>approved/published</x:v>
      </x:c>
      <x:c r="N6" s="28" t="str">
        <x:v>No</x:v>
      </x:c>
      <x:c r="O6" s="28" t="str">
        <x:v>Return/revise</x:v>
      </x:c>
      <x:c r="P6" s="28" t="str">
        <x:v>Self-approval denied; missing dependency</x:v>
      </x:c>
      <x:c r="Q6" s="28" t="str">
        <x:v>BLOCKED</x:v>
      </x:c>
      <x:c r="R6" s="28" t="str">
        <x:v>0</x:v>
      </x:c>
      <x:c r="S6" s="28" t="str">
        <x:v>Critical</x:v>
      </x:c>
      <x:c r="T6" s="28" t="str">
        <x:v>Not ready</x:v>
      </x:c>
      <x:c r="U6" s="28" t="str">
        <x:v>BP-003</x:v>
      </x:c>
      <x:c r="V6" s="28" t="str">
        <x:v>Strong static</x:v>
      </x:c>
      <x:c r="W6" s="28" t="str">
        <x:v>SCR-003</x:v>
      </x:c>
      <x:c r="X6" s="28" t="str">
        <x:v>https://github.com/Vikram-Indla/Inspection/blob/ada62124c5f8c8066cec397dc70fab31be9b0c7d/apps/web/src/app/(app)/admin/compliance-requests/new/page.tsx</x:v>
      </x:c>
    </x:row>
    <x:row r="7" ht="30" customHeight="1">
      <x:c r="A7" s="28" t="str">
        <x:v>JRN-ADMIN-EXEC-001</x:v>
      </x:c>
      <x:c r="B7" s="28" t="str">
        <x:v>Platform / Compliance Administrator</x:v>
      </x:c>
      <x:c r="C7" s="28" t="str">
        <x:v>Execution config</x:v>
      </x:c>
      <x:c r="D7" s="28" t="str">
        <x:v>Configure capacity, modes and reasons</x:v>
      </x:c>
      <x:c r="E7" s="28" t="str">
        <x:v>Enable governed execution</x:v>
      </x:c>
      <x:c r="F7" s="28" t="str">
        <x:v>Operational policy decision</x:v>
      </x:c>
      <x:c r="G7" s="28" t="str">
        <x:v>Config version available</x:v>
      </x:c>
      <x:c r="H7" s="28" t="str">
        <x:v>Approved policy values</x:v>
      </x:c>
      <x:c r="I7" s="28" t="str">
        <x:v>Execution settings</x:v>
      </x:c>
      <x:c r="J7" s="28" t="str">
        <x:v>Roles</x:v>
      </x:c>
      <x:c r="K7" s="28" t="str">
        <x:v>/admin/execution</x:v>
      </x:c>
      <x:c r="L7" s="28" t="str">
        <x:v>Published execution settings</x:v>
      </x:c>
      <x:c r="M7" s="28" t="str">
        <x:v>active</x:v>
      </x:c>
      <x:c r="N7" s="28" t="str">
        <x:v>No</x:v>
      </x:c>
      <x:c r="O7" s="28" t="str">
        <x:v>Read-only inspection</x:v>
      </x:c>
      <x:c r="P7" s="28" t="str">
        <x:v>Missing governed value</x:v>
      </x:c>
      <x:c r="Q7" s="28" t="str">
        <x:v>BLOCKED</x:v>
      </x:c>
      <x:c r="R7" s="28" t="str">
        <x:v>0</x:v>
      </x:c>
      <x:c r="S7" s="28" t="str">
        <x:v>Critical</x:v>
      </x:c>
      <x:c r="T7" s="28" t="str">
        <x:v>Not ready</x:v>
      </x:c>
      <x:c r="U7" s="28" t="str">
        <x:v>BP-004</x:v>
      </x:c>
      <x:c r="V7" s="28" t="str">
        <x:v>Strong static</x:v>
      </x:c>
      <x:c r="W7" s="28" t="str">
        <x:v>https://github.com/Vikram-Indla/Inspection/blob/ada62124c5f8c8066cec397dc70fab31be9b0c7d/apps/web/src/app/admin/execution/page.tsx</x:v>
      </x:c>
      <x:c r="X7" s="28" t="str">
        <x:v>https://github.com/Vikram-Indla/Inspection/blob/ada62124c5f8c8066cec397dc70fab31be9b0c7d/apps/web/src/app/admin/execution/page.tsx</x:v>
      </x:c>
    </x:row>
    <x:row r="8" ht="30" customHeight="1">
      <x:c r="A8" s="28" t="str">
        <x:v>JRN-PLANNER-SINGLE-001</x:v>
      </x:c>
      <x:c r="B8" s="28" t="str">
        <x:v>Planner / Coordinator</x:v>
      </x:c>
      <x:c r="C8" s="28" t="str">
        <x:v>Planning</x:v>
      </x:c>
      <x:c r="D8" s="28" t="str">
        <x:v>Create and publish one inspection visit</x:v>
      </x:c>
      <x:c r="E8" s="28" t="str">
        <x:v>Dispatch one valid visit</x:v>
      </x:c>
      <x:c r="F8" s="28" t="str">
        <x:v>Inspection demand</x:v>
      </x:c>
      <x:c r="G8" s="28" t="str">
        <x:v>Canonical target exists</x:v>
      </x:c>
      <x:c r="H8" s="28" t="str">
        <x:v>Factory/licence/location; package; inspector; capacity</x:v>
      </x:c>
      <x:c r="I8" s="28" t="str">
        <x:v>Planning lookups, expiry rules</x:v>
      </x:c>
      <x:c r="J8" s="28" t="str">
        <x:v>Factory and inspector records</x:v>
      </x:c>
      <x:c r="K8" s="28" t="str">
        <x:v>/planning/single</x:v>
      </x:c>
      <x:c r="L8" s="28" t="str">
        <x:v>Assigned published visit</x:v>
      </x:c>
      <x:c r="M8" s="28" t="str">
        <x:v>published/new</x:v>
      </x:c>
      <x:c r="N8" s="28" t="str">
        <x:v>Yes</x:v>
      </x:c>
      <x:c r="O8" s="28" t="str">
        <x:v>Save draft; zero package</x:v>
      </x:c>
      <x:c r="P8" s="28" t="str">
        <x:v>Duplicate, capacity, overlap, invalid window</x:v>
      </x:c>
      <x:c r="Q8" s="28" t="str">
        <x:v>BLOCKED</x:v>
      </x:c>
      <x:c r="R8" s="28" t="str">
        <x:v>0</x:v>
      </x:c>
      <x:c r="S8" s="28" t="str">
        <x:v>Critical</x:v>
      </x:c>
      <x:c r="T8" s="28" t="str">
        <x:v>Not ready</x:v>
      </x:c>
      <x:c r="U8" s="28" t="str">
        <x:v>BP-005;BP-006</x:v>
      </x:c>
      <x:c r="V8" s="28" t="str">
        <x:v>Strong static + Drive blueprint</x:v>
      </x:c>
      <x:c r="W8" s="28" t="str">
        <x:v>SCR-003</x:v>
      </x:c>
      <x:c r="X8" s="28" t="str">
        <x:v>https://github.com/Vikram-Indla/Inspection/blob/ada62124c5f8c8066cec397dc70fab31be9b0c7d/apps/web/src/app/(app)/planning/single/page.tsx</x:v>
      </x:c>
    </x:row>
    <x:row r="9" ht="30" customHeight="1">
      <x:c r="A9" s="28" t="str">
        <x:v>JRN-PLANNER-BULK-001</x:v>
      </x:c>
      <x:c r="B9" s="28" t="str">
        <x:v>Planner / Coordinator</x:v>
      </x:c>
      <x:c r="C9" s="28" t="str">
        <x:v>Planning</x:v>
      </x:c>
      <x:c r="D9" s="28" t="str">
        <x:v>Create and publish bulk visit plan</x:v>
      </x:c>
      <x:c r="E9" s="28" t="str">
        <x:v>Dispatch multiple visits</x:v>
      </x:c>
      <x:c r="F9" s="28" t="str">
        <x:v>Campaign demand</x:v>
      </x:c>
      <x:c r="G9" s="28" t="str">
        <x:v>Target cohort definable</x:v>
      </x:c>
      <x:c r="H9" s="28" t="str">
        <x:v>Criteria, packages, inspectors</x:v>
      </x:c>
      <x:c r="I9" s="28" t="str">
        <x:v>Planning engine</x:v>
      </x:c>
      <x:c r="J9" s="28" t="str">
        <x:v>Factory population</x:v>
      </x:c>
      <x:c r="K9" s="28" t="str">
        <x:v>/planning/bulk</x:v>
      </x:c>
      <x:c r="L9" s="28" t="str">
        <x:v>Published plan and child visits</x:v>
      </x:c>
      <x:c r="M9" s="28" t="str">
        <x:v>published</x:v>
      </x:c>
      <x:c r="N9" s="28" t="str">
        <x:v>Yes</x:v>
      </x:c>
      <x:c r="O9" s="28" t="str">
        <x:v>Review and partial eligibility</x:v>
      </x:c>
      <x:c r="P9" s="28" t="str">
        <x:v>Duplicates/partial failure</x:v>
      </x:c>
      <x:c r="Q9" s="28" t="str">
        <x:v>UNVERIFIED</x:v>
      </x:c>
      <x:c r="R9" s="28" t="str">
        <x:v>0</x:v>
      </x:c>
      <x:c r="S9" s="28" t="str">
        <x:v>High</x:v>
      </x:c>
      <x:c r="T9" s="28" t="str">
        <x:v>Not ready</x:v>
      </x:c>
      <x:c r="U9" s="28" t="str">
        <x:v>BP-006</x:v>
      </x:c>
      <x:c r="V9" s="28" t="str">
        <x:v>Static</x:v>
      </x:c>
      <x:c r="W9" s="28" t="str">
        <x:v>https://github.com/Vikram-Indla/Inspection/blob/ada62124c5f8c8066cec397dc70fab31be9b0c7d/apps/web/src/app/(app)/planning/bulk/page.tsx</x:v>
      </x:c>
      <x:c r="X9" s="28"/>
    </x:row>
    <x:row r="10" ht="30" customHeight="1">
      <x:c r="A10" s="28" t="str">
        <x:v>JRN-PLANNER-URGENT-001</x:v>
      </x:c>
      <x:c r="B10" s="28" t="str">
        <x:v>Planner / Coordinator</x:v>
      </x:c>
      <x:c r="C10" s="28" t="str">
        <x:v>Planning</x:v>
      </x:c>
      <x:c r="D10" s="28" t="str">
        <x:v>Create immediate/urgent visit</x:v>
      </x:c>
      <x:c r="E10" s="28" t="str">
        <x:v>Respond to urgent trigger</x:v>
      </x:c>
      <x:c r="F10" s="28" t="str">
        <x:v>Urgent inspection need</x:v>
      </x:c>
      <x:c r="G10" s="28" t="str">
        <x:v>Authorized planner</x:v>
      </x:c>
      <x:c r="H10" s="28" t="str">
        <x:v>Manual factory controls and urgent reason</x:v>
      </x:c>
      <x:c r="I10" s="28" t="str">
        <x:v>Execution rules</x:v>
      </x:c>
      <x:c r="J10" s="28" t="str">
        <x:v>Factory/identity</x:v>
      </x:c>
      <x:c r="K10" s="28" t="str">
        <x:v>/planning/immediate</x:v>
      </x:c>
      <x:c r="L10" s="28" t="str">
        <x:v>Immediate visit and assignment</x:v>
      </x:c>
      <x:c r="M10" s="28" t="str">
        <x:v>published/new</x:v>
      </x:c>
      <x:c r="N10" s="28" t="str">
        <x:v>Yes</x:v>
      </x:c>
      <x:c r="O10" s="28" t="str">
        <x:v>Manual target</x:v>
      </x:c>
      <x:c r="P10" s="28" t="str">
        <x:v>Invalid factory/location/authorization</x:v>
      </x:c>
      <x:c r="Q10" s="28" t="str">
        <x:v>UNVERIFIED</x:v>
      </x:c>
      <x:c r="R10" s="28" t="str">
        <x:v>0</x:v>
      </x:c>
      <x:c r="S10" s="28" t="str">
        <x:v>High</x:v>
      </x:c>
      <x:c r="T10" s="28" t="str">
        <x:v>Not ready</x:v>
      </x:c>
      <x:c r="U10" s="28" t="str">
        <x:v>BP-007</x:v>
      </x:c>
      <x:c r="V10" s="28" t="str">
        <x:v>Static</x:v>
      </x:c>
      <x:c r="W10" s="28" t="str">
        <x:v>https://github.com/Vikram-Indla/Inspection/blob/ada62124c5f8c8066cec397dc70fab31be9b0c7d/apps/web/src/app/(app)/planning/immediate/page.tsx</x:v>
      </x:c>
      <x:c r="X10" s="28"/>
    </x:row>
    <x:row r="11" ht="30" customHeight="1">
      <x:c r="A11" s="28" t="str">
        <x:v>JRN-PLANNER-MANAGE-001</x:v>
      </x:c>
      <x:c r="B11" s="28" t="str">
        <x:v>Planner / Coordinator</x:v>
      </x:c>
      <x:c r="C11" s="28" t="str">
        <x:v>Visit management</x:v>
      </x:c>
      <x:c r="D11" s="28" t="str">
        <x:v>Manage, reassign, cancel or expire visits</x:v>
      </x:c>
      <x:c r="E11" s="28" t="str">
        <x:v>Maintain published workload</x:v>
      </x:c>
      <x:c r="F11" s="28" t="str">
        <x:v>Operational change</x:v>
      </x:c>
      <x:c r="G11" s="28" t="str">
        <x:v>Visit exists</x:v>
      </x:c>
      <x:c r="H11" s="28" t="str">
        <x:v>Capabilities and transition rules</x:v>
      </x:c>
      <x:c r="I11" s="28" t="str">
        <x:v>Reasons/lookups</x:v>
      </x:c>
      <x:c r="J11" s="28" t="str">
        <x:v>Visit/assignment</x:v>
      </x:c>
      <x:c r="K11" s="28" t="str">
        <x:v>/visits</x:v>
      </x:c>
      <x:c r="L11" s="28" t="str">
        <x:v>Governed transition</x:v>
      </x:c>
      <x:c r="M11" s="28" t="str">
        <x:v>varies</x:v>
      </x:c>
      <x:c r="N11" s="28" t="str">
        <x:v>Yes</x:v>
      </x:c>
      <x:c r="O11" s="28" t="str">
        <x:v>Bulk edit</x:v>
      </x:c>
      <x:c r="P11" s="28" t="str">
        <x:v>Invalid transition; missing assignment</x:v>
      </x:c>
      <x:c r="Q11" s="28" t="str">
        <x:v>PARTIAL</x:v>
      </x:c>
      <x:c r="R11" s="28" t="str">
        <x:v>0</x:v>
      </x:c>
      <x:c r="S11" s="28" t="str">
        <x:v>High</x:v>
      </x:c>
      <x:c r="T11" s="28" t="str">
        <x:v>Not ready</x:v>
      </x:c>
      <x:c r="U11" s="28" t="str">
        <x:v>BP-008</x:v>
      </x:c>
      <x:c r="V11" s="28" t="str">
        <x:v>Static</x:v>
      </x:c>
      <x:c r="W11" s="28" t="str">
        <x:v>https://github.com/Vikram-Indla/Inspection/blob/ada62124c5f8c8066cec397dc70fab31be9b0c7d/apps/web/src/app/(app)/visits/VisitsBoard.tsx</x:v>
      </x:c>
      <x:c r="X11" s="28"/>
    </x:row>
    <x:row r="12" ht="30" customHeight="1">
      <x:c r="A12" s="28" t="str">
        <x:v>JRN-INSPECTOR-PREP-001</x:v>
      </x:c>
      <x:c r="B12" s="28" t="str">
        <x:v>Inspector</x:v>
      </x:c>
      <x:c r="C12" s="28" t="str">
        <x:v>Preparation</x:v>
      </x:c>
      <x:c r="D12" s="28" t="str">
        <x:v>Prepare assigned inspection visit</x:v>
      </x:c>
      <x:c r="E12" s="28" t="str">
        <x:v>Make visit executable</x:v>
      </x:c>
      <x:c r="F12" s="28" t="str">
        <x:v>Visit published and assigned</x:v>
      </x:c>
      <x:c r="G12" s="28" t="str">
        <x:v>new</x:v>
      </x:c>
      <x:c r="H12" s="28" t="str">
        <x:v>Package/date/mode; identity</x:v>
      </x:c>
      <x:c r="I12" s="28" t="str">
        <x:v>Execution settings</x:v>
      </x:c>
      <x:c r="J12" s="28" t="str">
        <x:v>Visit, assignment, package</x:v>
      </x:c>
      <x:c r="K12" s="28" t="str">
        <x:v>/field/[visitId]</x:v>
      </x:c>
      <x:c r="L12" s="28" t="str">
        <x:v>Ready for execution</x:v>
      </x:c>
      <x:c r="M12" s="28" t="str">
        <x:v>prepared</x:v>
      </x:c>
      <x:c r="N12" s="28" t="str">
        <x:v>Yes</x:v>
      </x:c>
      <x:c r="O12" s="28" t="str">
        <x:v>Select package when none</x:v>
      </x:c>
      <x:c r="P12" s="28" t="str">
        <x:v>Missing assignment/config/package</x:v>
      </x:c>
      <x:c r="Q12" s="28" t="str">
        <x:v>BLOCKED</x:v>
      </x:c>
      <x:c r="R12" s="28" t="str">
        <x:v>0</x:v>
      </x:c>
      <x:c r="S12" s="28" t="str">
        <x:v>Critical</x:v>
      </x:c>
      <x:c r="T12" s="28" t="str">
        <x:v>Not ready</x:v>
      </x:c>
      <x:c r="U12" s="28" t="str">
        <x:v>BP-001;BP-009</x:v>
      </x:c>
      <x:c r="V12" s="28" t="str">
        <x:v>Static + document</x:v>
      </x:c>
      <x:c r="W12" s="28" t="str">
        <x:v>SCR-002</x:v>
      </x:c>
      <x:c r="X12" s="28" t="str">
        <x:v>https://github.com/Vikram-Indla/Inspection/blob/ada62124c5f8c8066cec397dc70fab31be9b0c7d/apps/web/src/app/(app)/field/[visitId]/page.tsx</x:v>
      </x:c>
    </x:row>
    <x:row r="13" ht="30" customHeight="1">
      <x:c r="A13" s="28" t="str">
        <x:v>JRN-INSPECTOR-TRAVEL-001</x:v>
      </x:c>
      <x:c r="B13" s="28" t="str">
        <x:v>Inspector</x:v>
      </x:c>
      <x:c r="C13" s="28" t="str">
        <x:v>Journey</x:v>
      </x:c>
      <x:c r="D13" s="28" t="str">
        <x:v>Start journey and record arrival</x:v>
      </x:c>
      <x:c r="E13" s="28" t="str">
        <x:v>Reach and prove target arrival</x:v>
      </x:c>
      <x:c r="F13" s="28" t="str">
        <x:v>Prepared visit</x:v>
      </x:c>
      <x:c r="G13" s="28" t="str">
        <x:v>prepared</x:v>
      </x:c>
      <x:c r="H13" s="28" t="str">
        <x:v>Execution date/window; location rules</x:v>
      </x:c>
      <x:c r="I13" s="28" t="str">
        <x:v>GIS/route provider</x:v>
      </x:c>
      <x:c r="J13" s="28" t="str">
        <x:v>Visit and confirmed location</x:v>
      </x:c>
      <x:c r="K13" s="28" t="str">
        <x:v>/field/[visitId]/travel</x:v>
      </x:c>
      <x:c r="L13" s="28" t="str">
        <x:v>Arrived visit</x:v>
      </x:c>
      <x:c r="M13" s="28" t="str">
        <x:v>arrived</x:v>
      </x:c>
      <x:c r="N13" s="28" t="str">
        <x:v>Yes</x:v>
      </x:c>
      <x:c r="O13" s="28" t="str">
        <x:v>Override request</x:v>
      </x:c>
      <x:c r="P13" s="28" t="str">
        <x:v>Outside window/geofence/provider fail</x:v>
      </x:c>
      <x:c r="Q13" s="28" t="str">
        <x:v>UNVERIFIED</x:v>
      </x:c>
      <x:c r="R13" s="28" t="str">
        <x:v>0</x:v>
      </x:c>
      <x:c r="S13" s="28" t="str">
        <x:v>Critical</x:v>
      </x:c>
      <x:c r="T13" s="28" t="str">
        <x:v>Not ready</x:v>
      </x:c>
      <x:c r="U13" s="28" t="str">
        <x:v>BP-010</x:v>
      </x:c>
      <x:c r="V13" s="28" t="str">
        <x:v>Static</x:v>
      </x:c>
      <x:c r="W13" s="28" t="str">
        <x:v>https://github.com/Vikram-Indla/Inspection/blob/ada62124c5f8c8066cec397dc70fab31be9b0c7d/apps/web/src/app/(app)/field/[visitId]/travel/page.tsx</x:v>
      </x:c>
      <x:c r="X13" s="28"/>
    </x:row>
    <x:row r="14" ht="30" customHeight="1">
      <x:c r="A14" s="28" t="str">
        <x:v>JRN-INSPECTOR-EXEC-001</x:v>
      </x:c>
      <x:c r="B14" s="28" t="str">
        <x:v>Inspector</x:v>
      </x:c>
      <x:c r="C14" s="28" t="str">
        <x:v>Execution</x:v>
      </x:c>
      <x:c r="D14" s="28" t="str">
        <x:v>Execute and submit physical inspection</x:v>
      </x:c>
      <x:c r="E14" s="28" t="str">
        <x:v>Produce immutable inspection result</x:v>
      </x:c>
      <x:c r="F14" s="28" t="str">
        <x:v>Arrived eligible visit</x:v>
      </x:c>
      <x:c r="G14" s="28" t="str">
        <x:v>arrived</x:v>
      </x:c>
      <x:c r="H14" s="28" t="str">
        <x:v>Checklist snapshot; evidence rules</x:v>
      </x:c>
      <x:c r="I14" s="28" t="str">
        <x:v>Items/packages/evidence settings</x:v>
      </x:c>
      <x:c r="J14" s="28" t="str">
        <x:v>Inspection and checklist</x:v>
      </x:c>
      <x:c r="K14" s="28" t="str">
        <x:v>/field/inspection/[id]</x:v>
      </x:c>
      <x:c r="L14" s="28" t="str">
        <x:v>Submitted immutable version</x:v>
      </x:c>
      <x:c r="M14" s="28" t="str">
        <x:v>submitted</x:v>
      </x:c>
      <x:c r="N14" s="28" t="str">
        <x:v>Yes</x:v>
      </x:c>
      <x:c r="O14" s="28" t="str">
        <x:v>Draft/resume; conditional items</x:v>
      </x:c>
      <x:c r="P14" s="28" t="str">
        <x:v>Validation/attachment/offline conflict</x:v>
      </x:c>
      <x:c r="Q14" s="28" t="str">
        <x:v>BLOCKED</x:v>
      </x:c>
      <x:c r="R14" s="28" t="str">
        <x:v>0</x:v>
      </x:c>
      <x:c r="S14" s="28" t="str">
        <x:v>Critical</x:v>
      </x:c>
      <x:c r="T14" s="28" t="str">
        <x:v>Not ready</x:v>
      </x:c>
      <x:c r="U14" s="28" t="str">
        <x:v>BP-001;BP-011;BP-012</x:v>
      </x:c>
      <x:c r="V14" s="28" t="str">
        <x:v>Strong static; runtime blocked</x:v>
      </x:c>
      <x:c r="W14" s="28" t="str">
        <x:v>SCR-002</x:v>
      </x:c>
      <x:c r="X14" s="28" t="str">
        <x:v>https://github.com/Vikram-Indla/Inspection/blob/ada62124c5f8c8066cec397dc70fab31be9b0c7d/apps/web/src/app/(app)/field/inspection/[id]/page.tsx</x:v>
      </x:c>
    </x:row>
    <x:row r="15" ht="30" customHeight="1">
      <x:c r="A15" s="28" t="str">
        <x:v>JRN-INSPECTOR-VIRTUAL-001</x:v>
      </x:c>
      <x:c r="B15" s="28" t="str">
        <x:v>Inspector</x:v>
      </x:c>
      <x:c r="C15" s="28" t="str">
        <x:v>Virtual</x:v>
      </x:c>
      <x:c r="D15" s="28" t="str">
        <x:v>Conduct virtual inspection</x:v>
      </x:c>
      <x:c r="E15" s="28" t="str">
        <x:v>Complete remote visit</x:v>
      </x:c>
      <x:c r="F15" s="28" t="str">
        <x:v>Virtual eligible appointment</x:v>
      </x:c>
      <x:c r="G15" s="28" t="str">
        <x:v>prepared</x:v>
      </x:c>
      <x:c r="H15" s="28" t="str">
        <x:v>OTP, appointment, provider</x:v>
      </x:c>
      <x:c r="I15" s="28" t="str">
        <x:v>Virtual settings</x:v>
      </x:c>
      <x:c r="J15" s="28" t="str">
        <x:v>Visit and parties</x:v>
      </x:c>
      <x:c r="K15" s="28" t="str">
        <x:v>/virtual/[id]</x:v>
      </x:c>
      <x:c r="L15" s="28" t="str">
        <x:v>Submitted virtual inspection</x:v>
      </x:c>
      <x:c r="M15" s="28" t="str">
        <x:v>submitted</x:v>
      </x:c>
      <x:c r="N15" s="28" t="str">
        <x:v>Yes</x:v>
      </x:c>
      <x:c r="O15" s="28" t="str">
        <x:v>Field virtual client</x:v>
      </x:c>
      <x:c r="P15" s="28" t="str">
        <x:v>OTP/video/provider failure</x:v>
      </x:c>
      <x:c r="Q15" s="28" t="str">
        <x:v>UNVERIFIED</x:v>
      </x:c>
      <x:c r="R15" s="28" t="str">
        <x:v>0</x:v>
      </x:c>
      <x:c r="S15" s="28" t="str">
        <x:v>High</x:v>
      </x:c>
      <x:c r="T15" s="28" t="str">
        <x:v>Not ready</x:v>
      </x:c>
      <x:c r="U15" s="28" t="str">
        <x:v>BP-013</x:v>
      </x:c>
      <x:c r="V15" s="28" t="str">
        <x:v>Static</x:v>
      </x:c>
      <x:c r="W15" s="28" t="str">
        <x:v>https://github.com/Vikram-Indla/Inspection/blob/ada62124c5f8c8066cec397dc70fab31be9b0c7d/apps/web/src/app/(app)/virtual/[id]/page.tsx</x:v>
      </x:c>
      <x:c r="X15" s="28"/>
    </x:row>
    <x:row r="16" ht="30" customHeight="1">
      <x:c r="A16" s="28" t="str">
        <x:v>JRN-REVIEWER-DECIDE-001</x:v>
      </x:c>
      <x:c r="B16" s="28" t="str">
        <x:v>Reviewer / Approver</x:v>
      </x:c>
      <x:c r="C16" s="28" t="str">
        <x:v>Review</x:v>
      </x:c>
      <x:c r="D16" s="28" t="str">
        <x:v>Review and approve submitted inspection</x:v>
      </x:c>
      <x:c r="E16" s="28" t="str">
        <x:v>Create governed decision</x:v>
      </x:c>
      <x:c r="F16" s="28" t="str">
        <x:v>Immutable submission exists</x:v>
      </x:c>
      <x:c r="G16" s="28" t="str">
        <x:v>submitted</x:v>
      </x:c>
      <x:c r="H16" s="28" t="str">
        <x:v>Reviewer permission; version</x:v>
      </x:c>
      <x:c r="I16" s="28" t="str">
        <x:v>Review workflow</x:v>
      </x:c>
      <x:c r="J16" s="28" t="str">
        <x:v>submission_versions</x:v>
      </x:c>
      <x:c r="K16" s="28" t="str">
        <x:v>/reviews/[id]</x:v>
      </x:c>
      <x:c r="L16" s="28" t="str">
        <x:v>Approved inspection</x:v>
      </x:c>
      <x:c r="M16" s="28" t="str">
        <x:v>approved</x:v>
      </x:c>
      <x:c r="N16" s="28" t="str">
        <x:v>Yes</x:v>
      </x:c>
      <x:c r="O16" s="28" t="str">
        <x:v>Reject; return scoped sections</x:v>
      </x:c>
      <x:c r="P16" s="28" t="str">
        <x:v>Stale version; self-approval</x:v>
      </x:c>
      <x:c r="Q16" s="28" t="str">
        <x:v>BLOCKED</x:v>
      </x:c>
      <x:c r="R16" s="28" t="str">
        <x:v>0</x:v>
      </x:c>
      <x:c r="S16" s="28" t="str">
        <x:v>Critical</x:v>
      </x:c>
      <x:c r="T16" s="28" t="str">
        <x:v>Not ready</x:v>
      </x:c>
      <x:c r="U16" s="28" t="str">
        <x:v>BP-001;BP-014</x:v>
      </x:c>
      <x:c r="V16" s="28" t="str">
        <x:v>Strong static + DB defect evidence</x:v>
      </x:c>
      <x:c r="W16" s="28" t="str">
        <x:v>SCR-003</x:v>
      </x:c>
      <x:c r="X16" s="28" t="str">
        <x:v>https://github.com/Vikram-Indla/Inspection/blob/ada62124c5f8c8066cec397dc70fab31be9b0c7d/apps/web/src/app/(app)/reviews/[id]/page.tsx</x:v>
      </x:c>
    </x:row>
    <x:row r="17" ht="30" customHeight="1">
      <x:c r="A17" s="28" t="str">
        <x:v>JRN-INSPECTOR-REWORK-001</x:v>
      </x:c>
      <x:c r="B17" s="28" t="str">
        <x:v>Inspector</x:v>
      </x:c>
      <x:c r="C17" s="28" t="str">
        <x:v>Rework</x:v>
      </x:c>
      <x:c r="D17" s="28" t="str">
        <x:v>Correct returned inspection and resubmit</x:v>
      </x:c>
      <x:c r="E17" s="28" t="str">
        <x:v>Resolve reviewer return</x:v>
      </x:c>
      <x:c r="F17" s="28" t="str">
        <x:v>Returned scoped review</x:v>
      </x:c>
      <x:c r="G17" s="28" t="str">
        <x:v>returned</x:v>
      </x:c>
      <x:c r="H17" s="28" t="str">
        <x:v>Returned sections and latest version</x:v>
      </x:c>
      <x:c r="I17" s="28" t="str">
        <x:v>Review rules</x:v>
      </x:c>
      <x:c r="J17" s="28" t="str">
        <x:v>Review decision</x:v>
      </x:c>
      <x:c r="K17" s="28" t="str">
        <x:v>/field/inspection/[id]</x:v>
      </x:c>
      <x:c r="L17" s="28" t="str">
        <x:v>New immutable submission version</x:v>
      </x:c>
      <x:c r="M17" s="28" t="str">
        <x:v>submitted</x:v>
      </x:c>
      <x:c r="N17" s="28" t="str">
        <x:v>Yes</x:v>
      </x:c>
      <x:c r="O17" s="28" t="str">
        <x:v>Draft/resume</x:v>
      </x:c>
      <x:c r="P17" s="28" t="str">
        <x:v>Scope mismatch; stale version</x:v>
      </x:c>
      <x:c r="Q17" s="28" t="str">
        <x:v>UNVERIFIED</x:v>
      </x:c>
      <x:c r="R17" s="28" t="str">
        <x:v>0</x:v>
      </x:c>
      <x:c r="S17" s="28" t="str">
        <x:v>Critical</x:v>
      </x:c>
      <x:c r="T17" s="28" t="str">
        <x:v>Not ready</x:v>
      </x:c>
      <x:c r="U17" s="28" t="str">
        <x:v>BP-014</x:v>
      </x:c>
      <x:c r="V17" s="28" t="str">
        <x:v>Static</x:v>
      </x:c>
      <x:c r="W17" s="28" t="str">
        <x:v>https://github.com/Vikram-Indla/Inspection/blob/ada62124c5f8c8066cec397dc70fab31be9b0c7d/apps/web/src/app/(app)/reviews/[id]/VersionCompare.tsx</x:v>
      </x:c>
      <x:c r="X17" s="28"/>
    </x:row>
    <x:row r="18" ht="30" customHeight="1">
      <x:c r="A18" s="28" t="str">
        <x:v>JRN-COMPLIANCE-CASE-001</x:v>
      </x:c>
      <x:c r="B18" s="28" t="str">
        <x:v>Compliance Officer</x:v>
      </x:c>
      <x:c r="C18" s="28" t="str">
        <x:v>Cases</x:v>
      </x:c>
      <x:c r="D18" s="28" t="str">
        <x:v>Open corrective/reinspection/appeal case</x:v>
      </x:c>
      <x:c r="E18" s="28" t="str">
        <x:v>Route non-compliance follow-up</x:v>
      </x:c>
      <x:c r="F18" s="28" t="str">
        <x:v>Approved/failed outcome</x:v>
      </x:c>
      <x:c r="G18" s="28" t="str">
        <x:v>closed review</x:v>
      </x:c>
      <x:c r="H18" s="28" t="str">
        <x:v>Case type and owner</x:v>
      </x:c>
      <x:c r="I18" s="28" t="str">
        <x:v>Case workflow</x:v>
      </x:c>
      <x:c r="J18" s="28" t="str">
        <x:v>Inspection/factory</x:v>
      </x:c>
      <x:c r="K18" s="28" t="str">
        <x:v>/cases</x:v>
      </x:c>
      <x:c r="L18" s="28" t="str">
        <x:v>Open case</x:v>
      </x:c>
      <x:c r="M18" s="28" t="str">
        <x:v>open</x:v>
      </x:c>
      <x:c r="N18" s="28" t="str">
        <x:v>Yes</x:v>
      </x:c>
      <x:c r="O18" s="28" t="str">
        <x:v>Correction/reinspection/appeal</x:v>
      </x:c>
      <x:c r="P18" s="28" t="str">
        <x:v>Duplicate/orphan case</x:v>
      </x:c>
      <x:c r="Q18" s="28" t="str">
        <x:v>PARTIAL</x:v>
      </x:c>
      <x:c r="R18" s="28" t="str">
        <x:v>0</x:v>
      </x:c>
      <x:c r="S18" s="28" t="str">
        <x:v>High</x:v>
      </x:c>
      <x:c r="T18" s="28" t="str">
        <x:v>Not ready</x:v>
      </x:c>
      <x:c r="U18" s="28" t="str">
        <x:v>BP-015</x:v>
      </x:c>
      <x:c r="V18" s="28" t="str">
        <x:v>Static</x:v>
      </x:c>
      <x:c r="W18" s="28" t="str">
        <x:v>https://github.com/Vikram-Indla/Inspection/blob/ada62124c5f8c8066cec397dc70fab31be9b0c7d/apps/web/src/app/(app)/cases/actions.ts</x:v>
      </x:c>
      <x:c r="X18" s="28"/>
    </x:row>
    <x:row r="19" ht="30" customHeight="1">
      <x:c r="A19" s="28" t="str">
        <x:v>JRN-CA-RESPOND-001</x:v>
      </x:c>
      <x:c r="B19" s="28" t="str">
        <x:v>Corrective-action Owner</x:v>
      </x:c>
      <x:c r="C19" s="28" t="str">
        <x:v>Corrective action</x:v>
      </x:c>
      <x:c r="D19" s="28" t="str">
        <x:v>Submit corrective evidence</x:v>
      </x:c>
      <x:c r="E19" s="28" t="str">
        <x:v>Close obligation</x:v>
      </x:c>
      <x:c r="F19" s="28" t="str">
        <x:v>Assigned corrective case</x:v>
      </x:c>
      <x:c r="G19" s="28" t="str">
        <x:v>open</x:v>
      </x:c>
      <x:c r="H19" s="28" t="str">
        <x:v>Owner identity and evidence</x:v>
      </x:c>
      <x:c r="I19" s="28" t="str">
        <x:v>Correction rules</x:v>
      </x:c>
      <x:c r="J19" s="28" t="str">
        <x:v>Case/action</x:v>
      </x:c>
      <x:c r="K19" s="28" t="str">
        <x:v>Cannot confirm</x:v>
      </x:c>
      <x:c r="L19" s="28" t="str">
        <x:v>Evidence submitted</x:v>
      </x:c>
      <x:c r="M19" s="28" t="str">
        <x:v>pending review</x:v>
      </x:c>
      <x:c r="N19" s="28" t="str">
        <x:v>No</x:v>
      </x:c>
      <x:c r="O19" s="28" t="str">
        <x:v>Request clarification</x:v>
      </x:c>
      <x:c r="P19" s="28" t="str">
        <x:v>Owner portal/auth missing</x:v>
      </x:c>
      <x:c r="Q19" s="28" t="str">
        <x:v>BLOCKED</x:v>
      </x:c>
      <x:c r="R19" s="28" t="str">
        <x:v>0</x:v>
      </x:c>
      <x:c r="S19" s="28" t="str">
        <x:v>High</x:v>
      </x:c>
      <x:c r="T19" s="28" t="str">
        <x:v>Not ready</x:v>
      </x:c>
      <x:c r="U19" s="28" t="str">
        <x:v>BP-016</x:v>
      </x:c>
      <x:c r="V19" s="28" t="str">
        <x:v>Weak/inferred</x:v>
      </x:c>
      <x:c r="W19" s="28" t="str"/>
      <x:c r="X19" s="28" t="str">
        <x:v>https://github.com/Vikram-Indla/Inspection/blob/ada62124c5f8c8066cec397dc70fab31be9b0c7d/product-contract/seeding-discovery/SCHEMA_DOMAIN_MAP.md</x:v>
      </x:c>
    </x:row>
    <x:row r="20" ht="30" customHeight="1">
      <x:c r="A20" s="28" t="str">
        <x:v>JRN-COMPLIANCE-ENFORCE-001</x:v>
      </x:c>
      <x:c r="B20" s="28" t="str">
        <x:v>Compliance Officer</x:v>
      </x:c>
      <x:c r="C20" s="28" t="str">
        <x:v>Enforcement</x:v>
      </x:c>
      <x:c r="D20" s="28" t="str">
        <x:v>Apply violation/penalty workflow</x:v>
      </x:c>
      <x:c r="E20" s="28" t="str">
        <x:v>Create enforceable outcome</x:v>
      </x:c>
      <x:c r="F20" s="28" t="str">
        <x:v>Approved inspection finding</x:v>
      </x:c>
      <x:c r="G20" s="28" t="str">
        <x:v>approved</x:v>
      </x:c>
      <x:c r="H20" s="28" t="str">
        <x:v>Violation code and mapping</x:v>
      </x:c>
      <x:c r="I20" s="28" t="str">
        <x:v>Enforcement library</x:v>
      </x:c>
      <x:c r="J20" s="28" t="str">
        <x:v>Violation/finding</x:v>
      </x:c>
      <x:c r="K20" s="28" t="str">
        <x:v>/enforcement-library</x:v>
      </x:c>
      <x:c r="L20" s="28" t="str">
        <x:v>Governed enforcement record</x:v>
      </x:c>
      <x:c r="M20" s="28" t="str">
        <x:v>active</x:v>
      </x:c>
      <x:c r="N20" s="28" t="str">
        <x:v>Yes</x:v>
      </x:c>
      <x:c r="O20" s="28" t="str">
        <x:v>Recommendation/export</x:v>
      </x:c>
      <x:c r="P20" s="28" t="str">
        <x:v>Missing mapping; provider block</x:v>
      </x:c>
      <x:c r="Q20" s="28" t="str">
        <x:v>PARTIAL</x:v>
      </x:c>
      <x:c r="R20" s="28" t="str">
        <x:v>0</x:v>
      </x:c>
      <x:c r="S20" s="28" t="str">
        <x:v>High</x:v>
      </x:c>
      <x:c r="T20" s="28" t="str">
        <x:v>Not ready</x:v>
      </x:c>
      <x:c r="U20" s="28" t="str">
        <x:v>BP-017</x:v>
      </x:c>
      <x:c r="V20" s="28" t="str">
        <x:v>Static</x:v>
      </x:c>
      <x:c r="W20" s="28" t="str">
        <x:v>https://github.com/Vikram-Indla/Inspection/blob/ada62124c5f8c8066cec397dc70fab31be9b0c7d/apps/web/src/app/(app)/enforcement-library/page.tsx</x:v>
      </x:c>
      <x:c r="X20" s="28"/>
    </x:row>
    <x:row r="21" ht="30" customHeight="1">
      <x:c r="A21" s="28" t="str">
        <x:v>JRN-OPS-MONITOR-001</x:v>
      </x:c>
      <x:c r="B21" s="28" t="str">
        <x:v>Operations Controller</x:v>
      </x:c>
      <x:c r="C21" s="28" t="str">
        <x:v>Operations</x:v>
      </x:c>
      <x:c r="D21" s="28" t="str">
        <x:v>Monitor live national operations</x:v>
      </x:c>
      <x:c r="E21" s="28" t="str">
        <x:v>Identify exceptions and intervene</x:v>
      </x:c>
      <x:c r="F21" s="28" t="str">
        <x:v>Active visits</x:v>
      </x:c>
      <x:c r="G21" s="28" t="str">
        <x:v>mixed</x:v>
      </x:c>
      <x:c r="H21" s="28" t="str">
        <x:v>Provider and location truth</x:v>
      </x:c>
      <x:c r="I21" s="28" t="str">
        <x:v>Operations configuration</x:v>
      </x:c>
      <x:c r="J21" s="28" t="str">
        <x:v>Visits/geo events</x:v>
      </x:c>
      <x:c r="K21" s="28" t="str">
        <x:v>/operations</x:v>
      </x:c>
      <x:c r="L21" s="28" t="str">
        <x:v>Operational awareness</x:v>
      </x:c>
      <x:c r="M21" s="28" t="str">
        <x:v>read-only</x:v>
      </x:c>
      <x:c r="N21" s="28" t="str">
        <x:v>Yes</x:v>
      </x:c>
      <x:c r="O21" s="28" t="str">
        <x:v>Live/map/list</x:v>
      </x:c>
      <x:c r="P21" s="28" t="str">
        <x:v>Provider unavailable/stale</x:v>
      </x:c>
      <x:c r="Q21" s="28" t="str">
        <x:v>PARTIAL</x:v>
      </x:c>
      <x:c r="R21" s="28" t="str">
        <x:v>0</x:v>
      </x:c>
      <x:c r="S21" s="28" t="str">
        <x:v>High</x:v>
      </x:c>
      <x:c r="T21" s="28" t="str">
        <x:v>Not ready</x:v>
      </x:c>
      <x:c r="U21" s="28" t="str">
        <x:v>BP-018</x:v>
      </x:c>
      <x:c r="V21" s="28" t="str">
        <x:v>Static</x:v>
      </x:c>
      <x:c r="W21" s="28" t="str">
        <x:v>https://github.com/Vikram-Indla/Inspection/blob/ada62124c5f8c8066cec397dc70fab31be9b0c7d/apps/web/src/app/(app)/operations/page.tsx</x:v>
      </x:c>
      <x:c r="X21" s="28"/>
    </x:row>
    <x:row r="22" ht="30" customHeight="1">
      <x:c r="A22" s="28" t="str">
        <x:v>JRN-EXEC-DASH-001</x:v>
      </x:c>
      <x:c r="B22" s="28" t="str">
        <x:v>Leadership / Executive</x:v>
      </x:c>
      <x:c r="C22" s="28" t="str">
        <x:v>Reporting</x:v>
      </x:c>
      <x:c r="D22" s="28" t="str">
        <x:v>Review strategic and operational dashboard</x:v>
      </x:c>
      <x:c r="E22" s="28" t="str">
        <x:v>Make evidence-based decisions</x:v>
      </x:c>
      <x:c r="F22" s="28" t="str">
        <x:v>Published KPI config</x:v>
      </x:c>
      <x:c r="G22" s="28" t="str">
        <x:v>facts available</x:v>
      </x:c>
      <x:c r="H22" s="28" t="str">
        <x:v>Dashboard config and data</x:v>
      </x:c>
      <x:c r="I22" s="28" t="str">
        <x:v>KPI definitions</x:v>
      </x:c>
      <x:c r="J22" s="28" t="str">
        <x:v>Audited facts</x:v>
      </x:c>
      <x:c r="K22" s="28" t="str">
        <x:v>/dashboard</x:v>
      </x:c>
      <x:c r="L22" s="28" t="str">
        <x:v>Decision insight</x:v>
      </x:c>
      <x:c r="M22" s="28" t="str">
        <x:v>read-only</x:v>
      </x:c>
      <x:c r="N22" s="28" t="str">
        <x:v>No</x:v>
      </x:c>
      <x:c r="O22" s="28" t="str">
        <x:v>Strategic/operational views</x:v>
      </x:c>
      <x:c r="P22" s="28" t="str">
        <x:v>No governed KPI config</x:v>
      </x:c>
      <x:c r="Q22" s="28" t="str">
        <x:v>BROKEN</x:v>
      </x:c>
      <x:c r="R22" s="28" t="str">
        <x:v>0</x:v>
      </x:c>
      <x:c r="S22" s="28" t="str">
        <x:v>High</x:v>
      </x:c>
      <x:c r="T22" s="28" t="str">
        <x:v>Not ready</x:v>
      </x:c>
      <x:c r="U22" s="28" t="str">
        <x:v>BP-019</x:v>
      </x:c>
      <x:c r="V22" s="28" t="str">
        <x:v>Strong DB evidence</x:v>
      </x:c>
      <x:c r="W22" s="28" t="str">
        <x:v>https://github.com/Vikram-Indla/Inspection/blob/ada62124c5f8c8066cec397dc70fab31be9b0c7d/product-contract/seeding-discovery/CURRENT_DATA_QUALITY_REPORT.md</x:v>
      </x:c>
      <x:c r="X22" s="28" t="str">
        <x:v>https://github.com/Vikram-Indla/Inspection/blob/ada62124c5f8c8066cec397dc70fab31be9b0c7d/apps/web/src/app/(app)/dashboard/page.tsx</x:v>
      </x:c>
    </x:row>
    <x:row r="23" ht="30" customHeight="1">
      <x:c r="A23" s="28" t="str">
        <x:v>JRN-FACTORY-360-001</x:v>
      </x:c>
      <x:c r="B23" s="28" t="str">
        <x:v>Operations / Planner / Reviewer</x:v>
      </x:c>
      <x:c r="C23" s="28" t="str">
        <x:v>Factory 360</x:v>
      </x:c>
      <x:c r="D23" s="28" t="str">
        <x:v>Inspect canonical factory profile</x:v>
      </x:c>
      <x:c r="E23" s="28" t="str">
        <x:v>Resolve target context</x:v>
      </x:c>
      <x:c r="F23" s="28" t="str">
        <x:v>Factory exists</x:v>
      </x:c>
      <x:c r="G23" s="28" t="str">
        <x:v>active</x:v>
      </x:c>
      <x:c r="H23" s="28" t="str">
        <x:v>Canonical identity and provider provenance</x:v>
      </x:c>
      <x:c r="I23" s="28" t="str">
        <x:v>Factory data integration</x:v>
      </x:c>
      <x:c r="J23" s="28" t="str">
        <x:v>Factory/CR/licence/plant</x:v>
      </x:c>
      <x:c r="K23" s="28" t="str">
        <x:v>/factories/[id]</x:v>
      </x:c>
      <x:c r="L23" s="28" t="str">
        <x:v>Contextual decision support</x:v>
      </x:c>
      <x:c r="M23" s="28" t="str">
        <x:v>read-only</x:v>
      </x:c>
      <x:c r="N23" s="28" t="str">
        <x:v>Yes</x:v>
      </x:c>
      <x:c r="O23" s="28" t="str">
        <x:v>CR view</x:v>
      </x:c>
      <x:c r="P23" s="28" t="str">
        <x:v>Sparse identifiers/location/products</x:v>
      </x:c>
      <x:c r="Q23" s="28" t="str">
        <x:v>PARTIAL</x:v>
      </x:c>
      <x:c r="R23" s="28" t="str">
        <x:v>0</x:v>
      </x:c>
      <x:c r="S23" s="28" t="str">
        <x:v>High</x:v>
      </x:c>
      <x:c r="T23" s="28" t="str">
        <x:v>Not ready</x:v>
      </x:c>
      <x:c r="U23" s="28" t="str">
        <x:v>BP-020</x:v>
      </x:c>
      <x:c r="V23" s="28" t="str">
        <x:v>Strong DB evidence</x:v>
      </x:c>
      <x:c r="W23" s="28" t="str">
        <x:v>https://github.com/Vikram-Indla/Inspection/blob/ada62124c5f8c8066cec397dc70fab31be9b0c7d/apps/web/src/app/(app)/factories/[id]/page.tsx</x:v>
      </x:c>
      <x:c r="X23" s="28" t="str">
        <x:v>https://github.com/Vikram-Indla/Inspection/blob/ada62124c5f8c8066cec397dc70fab31be9b0c7d/product-contract/seeding-discovery/CURRENT_DATA_QUALITY_REPORT.md</x:v>
      </x:c>
    </x:row>
    <x:row r="24" ht="30" customHeight="1">
      <x:c r="A24" s="28" t="str">
        <x:v>JRN-AUDITOR-AUDIT-001</x:v>
      </x:c>
      <x:c r="B24" s="28" t="str">
        <x:v>Audit / Security Administrator</x:v>
      </x:c>
      <x:c r="C24" s="28" t="str">
        <x:v>Audit</x:v>
      </x:c>
      <x:c r="D24" s="28" t="str">
        <x:v>Investigate system activity</x:v>
      </x:c>
      <x:c r="E24" s="28" t="str">
        <x:v>Assurance or incident</x:v>
      </x:c>
      <x:c r="F24" s="28" t="str">
        <x:v>Audit data exists</x:v>
      </x:c>
      <x:c r="G24" s="28" t="str">
        <x:v>append-only</x:v>
      </x:c>
      <x:c r="H24" s="28" t="str">
        <x:v>Audit capability</x:v>
      </x:c>
      <x:c r="I24" s="28" t="str">
        <x:v>Audit controls</x:v>
      </x:c>
      <x:c r="J24" s="28" t="str">
        <x:v>audit_events</x:v>
      </x:c>
      <x:c r="K24" s="28" t="str">
        <x:v>/admin/audit</x:v>
      </x:c>
      <x:c r="L24" s="28" t="str">
        <x:v>Traceable finding</x:v>
      </x:c>
      <x:c r="M24" s="28" t="str">
        <x:v>read-only</x:v>
      </x:c>
      <x:c r="N24" s="28" t="str">
        <x:v>Yes</x:v>
      </x:c>
      <x:c r="O24" s="28" t="str">
        <x:v>Search/export/replay if governed</x:v>
      </x:c>
      <x:c r="P24" s="28" t="str">
        <x:v>Redaction/permission gaps</x:v>
      </x:c>
      <x:c r="Q24" s="28" t="str">
        <x:v>UNVERIFIED</x:v>
      </x:c>
      <x:c r="R24" s="28" t="str">
        <x:v>0</x:v>
      </x:c>
      <x:c r="S24" s="28" t="str">
        <x:v>High</x:v>
      </x:c>
      <x:c r="T24" s="28" t="str">
        <x:v>Not ready</x:v>
      </x:c>
      <x:c r="U24" s="28" t="str">
        <x:v>BP-001</x:v>
      </x:c>
      <x:c r="V24" s="28" t="str">
        <x:v>Static</x:v>
      </x:c>
      <x:c r="W24" s="28" t="str">
        <x:v>https://github.com/Vikram-Indla/Inspection/blob/ada62124c5f8c8066cec397dc70fab31be9b0c7d/apps/web/src/app/(app)/admin/audit/page.tsx</x:v>
      </x:c>
      <x:c r="X24" s="28"/>
    </x:row>
    <x:row r="25" ht="30" customHeight="1">
      <x:c r="A25" s="28" t="str">
        <x:v>JRN-SYSTEM-NOTIFY-001</x:v>
      </x:c>
      <x:c r="B25" s="28" t="str">
        <x:v>System / Background Actor</x:v>
      </x:c>
      <x:c r="C25" s="28" t="str">
        <x:v>Notifications</x:v>
      </x:c>
      <x:c r="D25" s="28" t="str">
        <x:v>Queue and deliver lifecycle notification</x:v>
      </x:c>
      <x:c r="E25" s="28" t="str">
        <x:v>State-changing event</x:v>
      </x:c>
      <x:c r="F25" s="28" t="str">
        <x:v>Recipient exists</x:v>
      </x:c>
      <x:c r="G25" s="28" t="str">
        <x:v>event committed</x:v>
      </x:c>
      <x:c r="H25" s="28" t="str">
        <x:v>Preference/provider configuration</x:v>
      </x:c>
      <x:c r="I25" s="28" t="str">
        <x:v>Notification rules</x:v>
      </x:c>
      <x:c r="J25" s="28" t="str">
        <x:v>Actor profile</x:v>
      </x:c>
      <x:c r="K25" s="28" t="str">
        <x:v>Background</x:v>
      </x:c>
      <x:c r="L25" s="28" t="str">
        <x:v>Queued/delivered/failed receipt</x:v>
      </x:c>
      <x:c r="M25" s="28" t="str">
        <x:v>queued/delivered</x:v>
      </x:c>
      <x:c r="N25" s="28" t="str">
        <x:v>Yes</x:v>
      </x:c>
      <x:c r="O25" s="28" t="str">
        <x:v>Suppressed preference/retry</x:v>
      </x:c>
      <x:c r="P25" s="28" t="str">
        <x:v>No preference/provider failure</x:v>
      </x:c>
      <x:c r="Q25" s="28" t="str">
        <x:v>PARTIAL</x:v>
      </x:c>
      <x:c r="R25" s="28" t="str">
        <x:v>0</x:v>
      </x:c>
      <x:c r="S25" s="28" t="str">
        <x:v>High</x:v>
      </x:c>
      <x:c r="T25" s="28" t="str">
        <x:v>Not ready</x:v>
      </x:c>
      <x:c r="U25" s="28" t="str">
        <x:v>BP-021</x:v>
      </x:c>
      <x:c r="V25" s="28" t="str">
        <x:v>DB evidence</x:v>
      </x:c>
      <x:c r="W25" s="28" t="str">
        <x:v>https://github.com/Vikram-Indla/Inspection/blob/ada62124c5f8c8066cec397dc70fab31be9b0c7d/product-contract/seeding-discovery/CURRENT_DATA_QUALITY_REPORT.md</x:v>
      </x:c>
      <x:c r="X25" s="28"/>
    </x:row>
    <x:row r="26" ht="30" customHeight="1">
      <x:c r="A26" s="28" t="str">
        <x:v>JRN-SYSTEM-INTEGRATE-001</x:v>
      </x:c>
      <x:c r="B26" s="28" t="str">
        <x:v>System / Background Actor</x:v>
      </x:c>
      <x:c r="C26" s="28" t="str">
        <x:v>Integration</x:v>
      </x:c>
      <x:c r="D26" s="28" t="str">
        <x:v>Forward inspection to Senaei</x:v>
      </x:c>
      <x:c r="E26" s="28" t="str">
        <x:v>Synchronize external authority</x:v>
      </x:c>
      <x:c r="F26" s="28" t="str">
        <x:v>Submitted inspection</x:v>
      </x:c>
      <x:c r="G26" s="28" t="str">
        <x:v>submitted</x:v>
      </x:c>
      <x:c r="H26" s="28" t="str">
        <x:v>Governed trigger and provider credentials</x:v>
      </x:c>
      <x:c r="I26" s="28" t="str">
        <x:v>Senaei adapter</x:v>
      </x:c>
      <x:c r="J26" s="28" t="str">
        <x:v>Submission payload</x:v>
      </x:c>
      <x:c r="K26" s="28" t="str">
        <x:v>Background</x:v>
      </x:c>
      <x:c r="L26" s="28" t="str">
        <x:v>Provider receipt</x:v>
      </x:c>
      <x:c r="M26" s="28" t="str">
        <x:v>blocked/delivered</x:v>
      </x:c>
      <x:c r="N26" s="28" t="str">
        <x:v>No</x:v>
      </x:c>
      <x:c r="O26" s="28" t="str">
        <x:v>Retry after transient failure</x:v>
      </x:c>
      <x:c r="P26" s="28" t="str">
        <x:v>Trigger decision blocked</x:v>
      </x:c>
      <x:c r="Q26" s="28" t="str">
        <x:v>BLOCKED</x:v>
      </x:c>
      <x:c r="R26" s="28" t="str">
        <x:v>0</x:v>
      </x:c>
      <x:c r="S26" s="28" t="str">
        <x:v>Critical</x:v>
      </x:c>
      <x:c r="T26" s="28" t="str">
        <x:v>Not ready</x:v>
      </x:c>
      <x:c r="U26" s="28" t="str">
        <x:v>BP-022</x:v>
      </x:c>
      <x:c r="V26" s="28" t="str">
        <x:v>Strong static</x:v>
      </x:c>
      <x:c r="W26" s="28" t="str">
        <x:v>https://github.com/Vikram-Indla/Inspection/blob/ada62124c5f8c8066cec397dc70fab31be9b0c7d/apps/web/src/lib/integrations/senaei/adapters/inspection-submission.ts</x:v>
      </x:c>
      <x:c r="X26" s="28"/>
    </x:row>
  </x:sheetData>
  <x:mergeCells>
    <x:mergeCell ref="A1:X1"/>
  </x:mergeCells>
  <x:pageMargins left="0.7" right="0.7" top="0.75" bottom="0.75" header="0.3" footer="0.3"/>
  <x:tableParts count="1">
    <x:tablePart xmlns:r="http://schemas.openxmlformats.org/officeDocument/2006/relationships" r:id="Re05a1556af43462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3" hidden="0" customWidth="1"/>
    <x:col min="2" max="2" width="13" hidden="0" customWidth="1"/>
    <x:col min="3" max="3" width="12" hidden="0" customWidth="1"/>
    <x:col min="4" max="4" width="12" hidden="0" customWidth="1"/>
    <x:col min="5" max="5" width="12" hidden="0" customWidth="1"/>
    <x:col min="6" max="6" width="14" hidden="0" customWidth="1"/>
    <x:col min="7" max="7" width="12" hidden="0" customWidth="1"/>
    <x:col min="8" max="8" width="27" hidden="0" customWidth="1"/>
    <x:col min="9" max="9" width="20" hidden="0" customWidth="1"/>
    <x:col min="10" max="10" width="17" hidden="0" customWidth="1"/>
    <x:col min="11" max="11" width="14" hidden="0" customWidth="1"/>
    <x:col min="12" max="12" width="15" hidden="0" customWidth="1"/>
    <x:col min="13" max="13" width="22" hidden="0" customWidth="1"/>
    <x:col min="14" max="14" width="20" hidden="0" customWidth="1"/>
    <x:col min="15" max="15" width="13" hidden="0" customWidth="1"/>
    <x:col min="16" max="16" width="17" hidden="0" customWidth="1"/>
    <x:col min="17" max="17" width="16" hidden="0" customWidth="1"/>
    <x:col min="18" max="18" width="13" hidden="0" customWidth="1"/>
    <x:col min="19" max="19" width="22" hidden="0" customWidth="1"/>
    <x:col min="20" max="20" width="12" hidden="0" customWidth="1"/>
    <x:col min="21" max="21" width="14" hidden="0" customWidth="1"/>
    <x:col min="22" max="22" width="15" hidden="0" customWidth="1"/>
    <x:col min="23" max="23" width="13" hidden="0" customWidth="1"/>
    <x:col min="24" max="24" width="13" hidden="0" customWidth="1"/>
    <x:col min="25" max="25" width="12" hidden="0" customWidth="1"/>
    <x:col min="26" max="26" width="16" hidden="0" customWidth="1"/>
    <x:col min="27" max="27" width="15" hidden="0" customWidth="1"/>
    <x:col min="28" max="28" width="14" hidden="0" customWidth="1"/>
    <x:col min="29" max="29" width="15" hidden="0" customWidth="1"/>
    <x:col min="30" max="30" width="23" hidden="0" customWidth="1"/>
    <x:col min="31" max="31" width="27" hidden="0" customWidth="1"/>
    <x:col min="32" max="32" width="12" hidden="0" customWidth="1"/>
    <x:col min="33" max="33" width="19" hidden="0" customWidth="1"/>
    <x:col min="34" max="34" width="17" hidden="0" customWidth="1"/>
    <x:col min="35" max="35" width="12" hidden="0" customWidth="1"/>
    <x:col min="36" max="36" width="16" hidden="0" customWidth="1"/>
    <x:col min="37" max="37" width="16" hidden="0" customWidth="1"/>
    <x:col min="38" max="38" width="23" hidden="0" customWidth="1"/>
    <x:col min="39" max="39" width="13" hidden="0" customWidth="1"/>
  </x:cols>
  <x:sheetData>
    <x:row r="1" ht="30" customHeight="1">
      <x:c r="A1" s="24" t="str">
        <x:v>04 STEP BY STEP</x:v>
      </x:c>
      <x:c r="B1" s="25"/>
      <x:c r="C1" s="25"/>
      <x:c r="D1" s="25"/>
      <x:c r="E1" s="25"/>
      <x:c r="F1" s="25"/>
      <x:c r="G1" s="25"/>
      <x:c r="H1" s="25"/>
      <x:c r="I1" s="25"/>
      <x:c r="J1" s="25"/>
      <x:c r="K1" s="25"/>
      <x:c r="L1" s="25"/>
      <x:c r="M1" s="25"/>
      <x:c r="N1" s="25"/>
      <x:c r="O1" s="25"/>
      <x:c r="P1" s="25"/>
      <x:c r="Q1" s="25"/>
      <x:c r="R1" s="25"/>
      <x:c r="S1" s="25"/>
      <x:c r="T1" s="25"/>
      <x:c r="U1" s="25"/>
      <x:c r="V1" s="25"/>
      <x:c r="W1" s="25"/>
      <x:c r="X1" s="25"/>
      <x:c r="Y1" s="25"/>
      <x:c r="Z1" s="25"/>
      <x:c r="AA1" s="25"/>
      <x:c r="AB1" s="25"/>
      <x:c r="AC1" s="25"/>
      <x:c r="AD1" s="25"/>
      <x:c r="AE1" s="25"/>
      <x:c r="AF1" s="25"/>
      <x:c r="AG1" s="25"/>
      <x:c r="AH1" s="25"/>
      <x:c r="AI1" s="25"/>
      <x:c r="AJ1" s="25"/>
      <x:c r="AK1" s="25"/>
      <x:c r="AL1" s="25"/>
      <x:c r="AM1" s="25"/>
    </x:row>
    <x:row r="2" ht="30" customHeight="1">
      <x:c r="A2" s="26" t="str">
        <x:v>Audit snapshot · 2026-07-30 (Asia/Riyadh) · commit ada62124</x:v>
      </x:c>
      <x:c r="B2" s="26" t="str"/>
      <x:c r="C2" s="26" t="str"/>
      <x:c r="D2" s="26" t="str"/>
      <x:c r="E2" s="26" t="str"/>
      <x:c r="F2" s="26" t="str"/>
      <x:c r="G2" s="26" t="str"/>
      <x:c r="H2" s="26" t="str"/>
      <x:c r="I2" s="26" t="str"/>
      <x:c r="J2" s="26" t="str"/>
      <x:c r="K2" s="26" t="str"/>
      <x:c r="L2" s="26" t="str"/>
      <x:c r="M2" s="26" t="str"/>
      <x:c r="N2" s="26" t="str"/>
      <x:c r="O2" s="26" t="str"/>
      <x:c r="P2" s="26" t="str"/>
      <x:c r="Q2" s="26" t="str"/>
      <x:c r="R2" s="26" t="str"/>
      <x:c r="S2" s="26" t="str"/>
      <x:c r="T2" s="26" t="str"/>
      <x:c r="U2" s="26" t="str"/>
      <x:c r="V2" s="26" t="str"/>
      <x:c r="W2" s="26" t="str"/>
      <x:c r="X2" s="26" t="str"/>
      <x:c r="Y2" s="26" t="str"/>
      <x:c r="Z2" s="26" t="str"/>
      <x:c r="AA2" s="26" t="str"/>
      <x:c r="AB2" s="26" t="str"/>
      <x:c r="AC2" s="26" t="str"/>
      <x:c r="AD2" s="26" t="str"/>
      <x:c r="AE2" s="26" t="str"/>
      <x:c r="AF2" s="26" t="str"/>
      <x:c r="AG2" s="26" t="str"/>
      <x:c r="AH2" s="26" t="str"/>
      <x:c r="AI2" s="26" t="str"/>
      <x:c r="AJ2" s="26" t="str"/>
      <x:c r="AK2" s="26" t="str"/>
      <x:c r="AL2" s="26" t="str"/>
      <x:c r="AM2" s="26" t="str"/>
    </x:row>
    <x:row r="3" ht="30" customHeight="1">
      <x:c r="A3" s="25"/>
      <x:c r="B3" s="25"/>
      <x:c r="C3" s="25"/>
      <x:c r="D3" s="25"/>
      <x:c r="E3" s="25"/>
      <x:c r="F3" s="25"/>
      <x:c r="G3" s="25"/>
      <x:c r="H3" s="25"/>
      <x:c r="I3" s="25"/>
      <x:c r="J3" s="25"/>
      <x:c r="K3" s="25"/>
      <x:c r="L3" s="25"/>
      <x:c r="M3" s="25"/>
      <x:c r="N3" s="25"/>
      <x:c r="O3" s="25"/>
      <x:c r="P3" s="25"/>
      <x:c r="Q3" s="25"/>
      <x:c r="R3" s="25"/>
      <x:c r="S3" s="25"/>
      <x:c r="T3" s="25"/>
      <x:c r="U3" s="25"/>
      <x:c r="V3" s="25"/>
      <x:c r="W3" s="25"/>
      <x:c r="X3" s="25"/>
      <x:c r="Y3" s="25"/>
      <x:c r="Z3" s="25"/>
      <x:c r="AA3" s="25"/>
      <x:c r="AB3" s="25"/>
      <x:c r="AC3" s="25"/>
      <x:c r="AD3" s="25"/>
      <x:c r="AE3" s="25"/>
      <x:c r="AF3" s="25"/>
      <x:c r="AG3" s="25"/>
      <x:c r="AH3" s="25"/>
      <x:c r="AI3" s="25"/>
      <x:c r="AJ3" s="25"/>
      <x:c r="AK3" s="25"/>
      <x:c r="AL3" s="25"/>
      <x:c r="AM3" s="25"/>
    </x:row>
    <x:row r="4" ht="30" customHeight="1">
      <x:c r="A4" s="27" t="str">
        <x:v>Journey ID</x:v>
      </x:c>
      <x:c r="B4" s="27" t="str">
        <x:v>Variant ID</x:v>
      </x:c>
      <x:c r="C4" s="27" t="str">
        <x:v>Step ID</x:v>
      </x:c>
      <x:c r="D4" s="27" t="str">
        <x:v>Sequence</x:v>
      </x:c>
      <x:c r="E4" s="27" t="str">
        <x:v>Persona</x:v>
      </x:c>
      <x:c r="F4" s="27" t="str">
        <x:v>Screen/page</x:v>
      </x:c>
      <x:c r="G4" s="27" t="str">
        <x:v>Route</x:v>
      </x:c>
      <x:c r="H4" s="27" t="str">
        <x:v>Tab/section/modal/drawer</x:v>
      </x:c>
      <x:c r="I4" s="27" t="str">
        <x:v>Starting UI state</x:v>
      </x:c>
      <x:c r="J4" s="27" t="str">
        <x:v>User objective</x:v>
      </x:c>
      <x:c r="K4" s="27" t="str">
        <x:v>User action</x:v>
      </x:c>
      <x:c r="L4" s="27" t="str">
        <x:v>Control used</x:v>
      </x:c>
      <x:c r="M4" s="27" t="str">
        <x:v>Field/data required</x:v>
      </x:c>
      <x:c r="N4" s="27" t="str">
        <x:v>Required/optional</x:v>
      </x:c>
      <x:c r="O4" s="27" t="str">
        <x:v>Field type</x:v>
      </x:c>
      <x:c r="P4" s="27" t="str">
        <x:v>Allowed values</x:v>
      </x:c>
      <x:c r="Q4" s="27" t="str">
        <x:v>Default value</x:v>
      </x:c>
      <x:c r="R4" s="27" t="str">
        <x:v>Validation</x:v>
      </x:c>
      <x:c r="S4" s="27" t="str">
        <x:v>Help/guidance shown</x:v>
      </x:c>
      <x:c r="T4" s="27" t="str">
        <x:v>Data read</x:v>
      </x:c>
      <x:c r="U4" s="27" t="str">
        <x:v>Data source</x:v>
      </x:c>
      <x:c r="V4" s="27" t="str">
        <x:v>Backend call</x:v>
      </x:c>
      <x:c r="W4" s="27" t="str">
        <x:v>Data write</x:v>
      </x:c>
      <x:c r="X4" s="27" t="str">
        <x:v>Table/view</x:v>
      </x:c>
      <x:c r="Y4" s="27" t="str">
        <x:v>Column(s)</x:v>
      </x:c>
      <x:c r="Z4" s="27" t="str">
        <x:v>Status before</x:v>
      </x:c>
      <x:c r="AA4" s="27" t="str">
        <x:v>Status after</x:v>
      </x:c>
      <x:c r="AB4" s="27" t="str">
        <x:v>Audit event</x:v>
      </x:c>
      <x:c r="AC4" s="27" t="str">
        <x:v>Notification</x:v>
      </x:c>
      <x:c r="AD4" s="27" t="str">
        <x:v>Expected UI response</x:v>
      </x:c>
      <x:c r="AE4" s="27" t="str">
        <x:v>Actual observed response</x:v>
      </x:c>
      <x:c r="AF4" s="27" t="str">
        <x:v>Next step</x:v>
      </x:c>
      <x:c r="AG4" s="27" t="str">
        <x:v>Alternate branch</x:v>
      </x:c>
      <x:c r="AH4" s="27" t="str">
        <x:v>Failure branch</x:v>
      </x:c>
      <x:c r="AI4" s="27" t="str">
        <x:v>Recovery</x:v>
      </x:c>
      <x:c r="AJ4" s="27" t="str">
        <x:v>Breakpoint ID</x:v>
      </x:c>
      <x:c r="AK4" s="27" t="str">
        <x:v>Screenshot ID</x:v>
      </x:c>
      <x:c r="AL4" s="27" t="str">
        <x:v>Source-code evidence</x:v>
      </x:c>
      <x:c r="AM4" s="27" t="str">
        <x:v>Confidence</x:v>
      </x:c>
    </x:row>
    <x:row r="5" ht="30" customHeight="1">
      <x:c r="A5" s="28" t="str">
        <x:v>JRN-PLANNER-SINGLE-001</x:v>
      </x:c>
      <x:c r="B5" s="28" t="str"/>
      <x:c r="C5" s="28" t="str">
        <x:v>JRN-PLANNER-SINGLE-001-S01</x:v>
      </x:c>
      <x:c r="D5" s="28" t="n">
        <x:v>1</x:v>
      </x:c>
      <x:c r="E5" s="28" t="str">
        <x:v>Administrator</x:v>
      </x:c>
      <x:c r="F5" s="28" t="str">
        <x:v>Access administration</x:v>
      </x:c>
      <x:c r="G5" s="28" t="str">
        <x:v>/admin/access</x:v>
      </x:c>
      <x:c r="H5" s="28" t="str">
        <x:v>User and role</x:v>
      </x:c>
      <x:c r="I5" s="28" t="str">
        <x:v>No usable actor</x:v>
      </x:c>
      <x:c r="J5" s="28" t="str">
        <x:v>Make planner/inspector available</x:v>
      </x:c>
      <x:c r="K5" s="28" t="str">
        <x:v>Create/associate verified actor</x:v>
      </x:c>
      <x:c r="L5" s="28" t="str">
        <x:v>Form</x:v>
      </x:c>
      <x:c r="M5" s="28" t="str">
        <x:v>Identity attributes; tenant scope; roles</x:v>
      </x:c>
      <x:c r="N5" s="28" t="str">
        <x:v>Required</x:v>
      </x:c>
      <x:c r="O5" s="28" t="str">
        <x:v>Identity/selection</x:v>
      </x:c>
      <x:c r="P5" s="28" t="str">
        <x:v>Governed values</x:v>
      </x:c>
      <x:c r="Q5" s="28" t="str">
        <x:v>None</x:v>
      </x:c>
      <x:c r="R5" s="28" t="str">
        <x:v>Unique identity; authorized role</x:v>
      </x:c>
      <x:c r="S5" s="28" t="str">
        <x:v>Cannot confirm</x:v>
      </x:c>
      <x:c r="T5" s="28" t="str">
        <x:v>roles/profiles/user_roles</x:v>
      </x:c>
      <x:c r="U5" s="28" t="str">
        <x:v>Identity tables</x:v>
      </x:c>
      <x:c r="V5" s="28" t="str">
        <x:v>Supabase auth + tables</x:v>
      </x:c>
      <x:c r="W5" s="28" t="str">
        <x:v>Create</x:v>
      </x:c>
      <x:c r="X5" s="28" t="str">
        <x:v>profiles/user_roles</x:v>
      </x:c>
      <x:c r="Y5" s="28" t="str">
        <x:v>user_id, role_id</x:v>
      </x:c>
      <x:c r="Z5" s="28" t="str">
        <x:v>absent</x:v>
      </x:c>
      <x:c r="AA5" s="28" t="str">
        <x:v>active</x:v>
      </x:c>
      <x:c r="AB5" s="28" t="str">
        <x:v>audit_events</x:v>
      </x:c>
      <x:c r="AC5" s="28" t="str">
        <x:v>Optional welcome</x:v>
      </x:c>
      <x:c r="AD5" s="28" t="str">
        <x:v>Persona becomes usable</x:v>
      </x:c>
      <x:c r="AE5" s="28" t="str">
        <x:v>Runtime blocked by sign-in/directory</x:v>
      </x:c>
      <x:c r="AF5" s="28" t="str">
        <x:v>S02</x:v>
      </x:c>
      <x:c r="AG5" s="28" t="str"/>
      <x:c r="AH5" s="28" t="str">
        <x:v>Directory/credential failure</x:v>
      </x:c>
      <x:c r="AI5" s="28" t="str">
        <x:v>Provision via approved identity process</x:v>
      </x:c>
      <x:c r="AJ5" s="28" t="str">
        <x:v>BP-001</x:v>
      </x:c>
      <x:c r="AK5" s="28" t="str">
        <x:v>SCR-001</x:v>
      </x:c>
      <x:c r="AL5" s="28" t="str">
        <x:v>https://github.com/Vikram-Indla/Inspection/blob/ada62124c5f8c8066cec397dc70fab31be9b0c7d/apps/web/src/app/(app)/admin/access/page.tsx</x:v>
      </x:c>
      <x:c r="AM5" s="28" t="str">
        <x:v>Medium</x:v>
      </x:c>
    </x:row>
    <x:row r="6" ht="30" customHeight="1">
      <x:c r="A6" s="28" t="str">
        <x:v>JRN-ADMIN-CONFIG-001</x:v>
      </x:c>
      <x:c r="B6" s="28" t="str"/>
      <x:c r="C6" s="28" t="str">
        <x:v>JRN-ADMIN-CONFIG-001-S01</x:v>
      </x:c>
      <x:c r="D6" s="28" t="n">
        <x:v>2</x:v>
      </x:c>
      <x:c r="E6" s="28" t="str">
        <x:v>Compliance Administrator</x:v>
      </x:c>
      <x:c r="F6" s="28" t="str">
        <x:v>Configuration requests</x:v>
      </x:c>
      <x:c r="G6" s="28" t="str">
        <x:v>/admin/compliance-requests/new</x:v>
      </x:c>
      <x:c r="H6" s="28" t="str">
        <x:v>Request builder</x:v>
      </x:c>
      <x:c r="I6" s="28" t="str">
        <x:v>Draft/new</x:v>
      </x:c>
      <x:c r="J6" s="28" t="str">
        <x:v>Create approved inspection content</x:v>
      </x:c>
      <x:c r="K6" s="28" t="str">
        <x:v>Select regulation, items, package, workflow</x:v>
      </x:c>
      <x:c r="L6" s="28" t="str">
        <x:v>Wizard/form</x:v>
      </x:c>
      <x:c r="M6" s="28" t="str">
        <x:v>Governed configuration</x:v>
      </x:c>
      <x:c r="N6" s="28" t="str">
        <x:v>Required</x:v>
      </x:c>
      <x:c r="O6" s="28" t="str">
        <x:v>Structured</x:v>
      </x:c>
      <x:c r="P6" s="28" t="str">
        <x:v>Existing approved entities</x:v>
      </x:c>
      <x:c r="Q6" s="28" t="str">
        <x:v>Dependency and maker-checker validation</x:v>
      </x:c>
      <x:c r="R6" s="28" t="str">
        <x:v>In UI/code</x:v>
      </x:c>
      <x:c r="S6" s="28" t="str">
        <x:v>Compliance entities</x:v>
      </x:c>
      <x:c r="T6" s="28" t="str">
        <x:v>Compliance tables</x:v>
      </x:c>
      <x:c r="U6" s="28" t="str">
        <x:v>Server actions/RPCs</x:v>
      </x:c>
      <x:c r="V6" s="28" t="str">
        <x:v>Create/update</x:v>
      </x:c>
      <x:c r="W6" s="28" t="str">
        <x:v>compliance_configuration_requests and components</x:v>
      </x:c>
      <x:c r="X6" s="28" t="str">
        <x:v>multiple</x:v>
      </x:c>
      <x:c r="Y6" s="28" t="str">
        <x:v>none</x:v>
      </x:c>
      <x:c r="Z6" s="28" t="str">
        <x:v>draft/pending</x:v>
      </x:c>
      <x:c r="AA6" s="28" t="str">
        <x:v>audit_events</x:v>
      </x:c>
      <x:c r="AB6" s="28" t="str">
        <x:v>Reviewer queue</x:v>
      </x:c>
      <x:c r="AC6" s="28" t="str">
        <x:v>Request submitted</x:v>
      </x:c>
      <x:c r="AD6" s="28" t="str">
        <x:v>Not runtime verified</x:v>
      </x:c>
      <x:c r="AE6" s="28" t="str">
        <x:v>S03</x:v>
      </x:c>
      <x:c r="AF6" s="28" t="str">
        <x:v>Return/revise</x:v>
      </x:c>
      <x:c r="AG6" s="28" t="str">
        <x:v>Missing dependency or self-approval</x:v>
      </x:c>
      <x:c r="AH6" s="28" t="str">
        <x:v>Correct and resubmit</x:v>
      </x:c>
      <x:c r="AI6" s="28" t="str">
        <x:v>BP-003</x:v>
      </x:c>
      <x:c r="AJ6" s="28" t="str">
        <x:v>SCR-003</x:v>
      </x:c>
      <x:c r="AK6" s="28" t="str">
        <x:v>https://github.com/Vikram-Indla/Inspection/blob/ada62124c5f8c8066cec397dc70fab31be9b0c7d/apps/web/src/app/(app)/admin/compliance-requests/new/page.tsx</x:v>
      </x:c>
      <x:c r="AL6" s="28" t="str">
        <x:v>Medium</x:v>
      </x:c>
      <x:c r="AM6" s="28"/>
    </x:row>
    <x:row r="7" ht="30" customHeight="1">
      <x:c r="A7" s="28" t="str">
        <x:v>JRN-ADMIN-EXEC-001</x:v>
      </x:c>
      <x:c r="B7" s="28" t="str"/>
      <x:c r="C7" s="28" t="str">
        <x:v>JRN-ADMIN-EXEC-001-S01</x:v>
      </x:c>
      <x:c r="D7" s="28" t="n">
        <x:v>3</x:v>
      </x:c>
      <x:c r="E7" s="28" t="str">
        <x:v>Administrator</x:v>
      </x:c>
      <x:c r="F7" s="28" t="str">
        <x:v>Execution settings</x:v>
      </x:c>
      <x:c r="G7" s="28" t="str">
        <x:v>/admin/execution</x:v>
      </x:c>
      <x:c r="H7" s="28" t="str">
        <x:v>Governed settings</x:v>
      </x:c>
      <x:c r="I7" s="28" t="str">
        <x:v>Configuration available</x:v>
      </x:c>
      <x:c r="J7" s="28" t="str">
        <x:v>Enable modes/capacity/reasons</x:v>
      </x:c>
      <x:c r="K7" s="28" t="str">
        <x:v>Edit governed settings</x:v>
      </x:c>
      <x:c r="L7" s="28" t="str">
        <x:v>Forms</x:v>
      </x:c>
      <x:c r="M7" s="28" t="str">
        <x:v>Policy values</x:v>
      </x:c>
      <x:c r="N7" s="28" t="str">
        <x:v>Required</x:v>
      </x:c>
      <x:c r="O7" s="28" t="str">
        <x:v>Configuration</x:v>
      </x:c>
      <x:c r="P7" s="28" t="str">
        <x:v>Approved only</x:v>
      </x:c>
      <x:c r="Q7" s="28" t="str">
        <x:v>Server validation</x:v>
      </x:c>
      <x:c r="R7" s="28" t="str">
        <x:v>Visible</x:v>
      </x:c>
      <x:c r="S7" s="28" t="str">
        <x:v>engine_settings/config_versions</x:v>
      </x:c>
      <x:c r="T7" s="28" t="str">
        <x:v>Config tables</x:v>
      </x:c>
      <x:c r="U7" s="28" t="str">
        <x:v>Server action</x:v>
      </x:c>
      <x:c r="V7" s="28" t="str">
        <x:v>Update</x:v>
      </x:c>
      <x:c r="W7" s="28" t="str">
        <x:v>engine_settings</x:v>
      </x:c>
      <x:c r="X7" s="28" t="str">
        <x:v>value/version</x:v>
      </x:c>
      <x:c r="Y7" s="28" t="str">
        <x:v>draft</x:v>
      </x:c>
      <x:c r="Z7" s="28" t="str">
        <x:v>active</x:v>
      </x:c>
      <x:c r="AA7" s="28" t="str">
        <x:v>audit_events</x:v>
      </x:c>
      <x:c r="AB7" s="28" t="str">
        <x:v>None</x:v>
      </x:c>
      <x:c r="AC7" s="28" t="str">
        <x:v>Execution rules available</x:v>
      </x:c>
      <x:c r="AD7" s="28" t="str">
        <x:v>Cannot prove configured values</x:v>
      </x:c>
      <x:c r="AE7" s="28" t="str">
        <x:v>S04</x:v>
      </x:c>
      <x:c r="AF7" s="28" t="str"/>
      <x:c r="AG7" s="28" t="str">
        <x:v>Missing values</x:v>
      </x:c>
      <x:c r="AH7" s="28" t="str">
        <x:v>Change control</x:v>
      </x:c>
      <x:c r="AI7" s="28" t="str">
        <x:v>BP-004</x:v>
      </x:c>
      <x:c r="AJ7" s="28" t="str">
        <x:v>SCR-003</x:v>
      </x:c>
      <x:c r="AK7" s="28" t="str">
        <x:v>https://github.com/Vikram-Indla/Inspection/blob/ada62124c5f8c8066cec397dc70fab31be9b0c7d/apps/web/src/app/admin/execution/page.tsx</x:v>
      </x:c>
      <x:c r="AL7" s="28" t="str">
        <x:v>High</x:v>
      </x:c>
      <x:c r="AM7" s="28"/>
    </x:row>
    <x:row r="8" ht="30" customHeight="1">
      <x:c r="A8" s="28" t="str">
        <x:v>JRN-PLANNER-SINGLE-001</x:v>
      </x:c>
      <x:c r="B8" s="28" t="str"/>
      <x:c r="C8" s="28" t="str">
        <x:v>JRN-PLANNER-SINGLE-001-S02</x:v>
      </x:c>
      <x:c r="D8" s="28" t="n">
        <x:v>4</x:v>
      </x:c>
      <x:c r="E8" s="28" t="str">
        <x:v>Planner</x:v>
      </x:c>
      <x:c r="F8" s="28" t="str">
        <x:v>Single visit planner</x:v>
      </x:c>
      <x:c r="G8" s="28" t="str">
        <x:v>/planning/single</x:v>
      </x:c>
      <x:c r="H8" s="28" t="str">
        <x:v>Target selection</x:v>
      </x:c>
      <x:c r="I8" s="28" t="str">
        <x:v>Authenticated planner</x:v>
      </x:c>
      <x:c r="J8" s="28" t="str">
        <x:v>Select canonical factory</x:v>
      </x:c>
      <x:c r="K8" s="28" t="str">
        <x:v>Search by CR/licence</x:v>
      </x:c>
      <x:c r="L8" s="28" t="str">
        <x:v>Search/select</x:v>
      </x:c>
      <x:c r="M8" s="28" t="str">
        <x:v>CR/licence/factory</x:v>
      </x:c>
      <x:c r="N8" s="28" t="str">
        <x:v>Required</x:v>
      </x:c>
      <x:c r="O8" s="28" t="str">
        <x:v>Identifier</x:v>
      </x:c>
      <x:c r="P8" s="28" t="str">
        <x:v>Existing canonical record</x:v>
      </x:c>
      <x:c r="Q8" s="28" t="str">
        <x:v>Eligibility and location</x:v>
      </x:c>
      <x:c r="R8" s="28" t="str">
        <x:v>Guidance present in source</x:v>
      </x:c>
      <x:c r="S8" s="28" t="str">
        <x:v>factories/licenses/CR</x:v>
      </x:c>
      <x:c r="T8" s="28" t="str">
        <x:v>Master tables</x:v>
      </x:c>
      <x:c r="U8" s="28" t="str">
        <x:v>Supabase queries</x:v>
      </x:c>
      <x:c r="V8" s="28" t="str">
        <x:v>Read</x:v>
      </x:c>
      <x:c r="W8" s="28" t="str">
        <x:v>factories</x:v>
      </x:c>
      <x:c r="X8" s="28" t="str">
        <x:v>id/location/status</x:v>
      </x:c>
      <x:c r="Y8" s="28" t="str">
        <x:v>none</x:v>
      </x:c>
      <x:c r="Z8" s="28" t="str">
        <x:v>draft</x:v>
      </x:c>
      <x:c r="AA8" s="28" t="str">
        <x:v>None</x:v>
      </x:c>
      <x:c r="AB8" s="28" t="str">
        <x:v>None</x:v>
      </x:c>
      <x:c r="AC8" s="28" t="str">
        <x:v>Target shown</x:v>
      </x:c>
      <x:c r="AD8" s="28" t="str">
        <x:v>Runtime auth blocked</x:v>
      </x:c>
      <x:c r="AE8" s="28" t="str">
        <x:v>S05</x:v>
      </x:c>
      <x:c r="AF8" s="28" t="str">
        <x:v>Manual high-impact path</x:v>
      </x:c>
      <x:c r="AG8" s="28" t="str">
        <x:v>No target/location</x:v>
      </x:c>
      <x:c r="AH8" s="28" t="str">
        <x:v>Resolve master data</x:v>
      </x:c>
      <x:c r="AI8" s="28" t="str">
        <x:v>BP-005</x:v>
      </x:c>
      <x:c r="AJ8" s="28" t="str">
        <x:v>SCR-003</x:v>
      </x:c>
      <x:c r="AK8" s="28" t="str">
        <x:v>https://github.com/Vikram-Indla/Inspection/blob/ada62124c5f8c8066cec397dc70fab31be9b0c7d/apps/web/src/app/(app)/planning/single/page.tsx</x:v>
      </x:c>
      <x:c r="AL8" s="28" t="str">
        <x:v>High</x:v>
      </x:c>
      <x:c r="AM8" s="28"/>
    </x:row>
    <x:row r="9" ht="30" customHeight="1">
      <x:c r="A9" s="28" t="str">
        <x:v>JRN-PLANNER-SINGLE-001</x:v>
      </x:c>
      <x:c r="B9" s="28" t="str"/>
      <x:c r="C9" s="28" t="str">
        <x:v>JRN-PLANNER-SINGLE-001-S03</x:v>
      </x:c>
      <x:c r="D9" s="28" t="n">
        <x:v>5</x:v>
      </x:c>
      <x:c r="E9" s="28" t="str">
        <x:v>Planner</x:v>
      </x:c>
      <x:c r="F9" s="28" t="str">
        <x:v>Single visit planner</x:v>
      </x:c>
      <x:c r="G9" s="28" t="str">
        <x:v>/planning/single</x:v>
      </x:c>
      <x:c r="H9" s="28" t="str">
        <x:v>Visit details</x:v>
      </x:c>
      <x:c r="I9" s="28" t="str">
        <x:v>Target selected</x:v>
      </x:c>
      <x:c r="J9" s="28" t="str">
        <x:v>Configure window/type/mode/package</x:v>
      </x:c>
      <x:c r="K9" s="28" t="str">
        <x:v>Enter/select details</x:v>
      </x:c>
      <x:c r="L9" s="28" t="str">
        <x:v>Form</x:v>
      </x:c>
      <x:c r="M9" s="28" t="str">
        <x:v>Window, type, mode, package</x:v>
      </x:c>
      <x:c r="N9" s="28" t="str">
        <x:v>Mixed</x:v>
      </x:c>
      <x:c r="O9" s="28" t="str">
        <x:v>Date/select</x:v>
      </x:c>
      <x:c r="P9" s="28" t="str">
        <x:v>Governed lookups</x:v>
      </x:c>
      <x:c r="Q9" s="28" t="str">
        <x:v>Window/package validity</x:v>
      </x:c>
      <x:c r="R9" s="28" t="str">
        <x:v>Visible</x:v>
      </x:c>
      <x:c r="S9" s="28" t="str">
        <x:v>planning_lookups/package_versions</x:v>
      </x:c>
      <x:c r="T9" s="28" t="str">
        <x:v>Planning/config tables</x:v>
      </x:c>
      <x:c r="U9" s="28" t="str">
        <x:v>Server validation</x:v>
      </x:c>
      <x:c r="V9" s="28" t="str">
        <x:v>Create/update</x:v>
      </x:c>
      <x:c r="W9" s="28" t="str">
        <x:v>visit_plans</x:v>
      </x:c>
      <x:c r="X9" s="28" t="str">
        <x:v>method/status/version</x:v>
      </x:c>
      <x:c r="Y9" s="28" t="str">
        <x:v>none</x:v>
      </x:c>
      <x:c r="Z9" s="28" t="str">
        <x:v>draft</x:v>
      </x:c>
      <x:c r="AA9" s="28" t="str">
        <x:v>audit_events</x:v>
      </x:c>
      <x:c r="AB9" s="28" t="str">
        <x:v>None</x:v>
      </x:c>
      <x:c r="AC9" s="28" t="str">
        <x:v>Draft retained</x:v>
      </x:c>
      <x:c r="AD9" s="28" t="str">
        <x:v>Runtime auth blocked</x:v>
      </x:c>
      <x:c r="AE9" s="28" t="str">
        <x:v>S06</x:v>
      </x:c>
      <x:c r="AF9" s="28" t="str">
        <x:v>Zero package allowed</x:v>
      </x:c>
      <x:c r="AG9" s="28" t="str">
        <x:v>Invalid window/package</x:v>
      </x:c>
      <x:c r="AH9" s="28" t="str">
        <x:v>Correct draft</x:v>
      </x:c>
      <x:c r="AI9" s="28" t="str">
        <x:v>BP-006</x:v>
      </x:c>
      <x:c r="AJ9" s="28" t="str">
        <x:v>SCR-003</x:v>
      </x:c>
      <x:c r="AK9" s="28" t="str">
        <x:v>https://github.com/Vikram-Indla/Inspection/blob/ada62124c5f8c8066cec397dc70fab31be9b0c7d/apps/web/src/app/(app)/planning/single/page.tsx</x:v>
      </x:c>
      <x:c r="AL9" s="28" t="str">
        <x:v>High</x:v>
      </x:c>
      <x:c r="AM9" s="28"/>
    </x:row>
    <x:row r="10" ht="30" customHeight="1">
      <x:c r="A10" s="28" t="str">
        <x:v>JRN-PLANNER-SINGLE-001</x:v>
      </x:c>
      <x:c r="B10" s="28" t="str"/>
      <x:c r="C10" s="28" t="str">
        <x:v>JRN-PLANNER-SINGLE-001-S04</x:v>
      </x:c>
      <x:c r="D10" s="28" t="n">
        <x:v>6</x:v>
      </x:c>
      <x:c r="E10" s="28" t="str">
        <x:v>Planner</x:v>
      </x:c>
      <x:c r="F10" s="28" t="str">
        <x:v>Single visit planner</x:v>
      </x:c>
      <x:c r="G10" s="28" t="str">
        <x:v>/planning/single</x:v>
      </x:c>
      <x:c r="H10" s="28" t="str">
        <x:v>Inspector assignment</x:v>
      </x:c>
      <x:c r="I10" s="28" t="str">
        <x:v>Draft valid</x:v>
      </x:c>
      <x:c r="J10" s="28" t="str">
        <x:v>Assign eligible inspector</x:v>
      </x:c>
      <x:c r="K10" s="28" t="str">
        <x:v>Select inspector</x:v>
      </x:c>
      <x:c r="L10" s="28" t="str">
        <x:v>Select</x:v>
      </x:c>
      <x:c r="M10" s="28" t="str">
        <x:v>Inspector</x:v>
      </x:c>
      <x:c r="N10" s="28" t="str">
        <x:v>Required</x:v>
      </x:c>
      <x:c r="O10" s="28" t="str">
        <x:v>Reference</x:v>
      </x:c>
      <x:c r="P10" s="28" t="str">
        <x:v>Eligible/capacity/overlap</x:v>
      </x:c>
      <x:c r="Q10" s="28" t="str">
        <x:v>Eligibility feedback intended</x:v>
      </x:c>
      <x:c r="R10" s="28" t="str">
        <x:v>profiles/assignments</x:v>
      </x:c>
      <x:c r="S10" s="28" t="str">
        <x:v>Identity/planning</x:v>
      </x:c>
      <x:c r="T10" s="28" t="str">
        <x:v>Publish command</x:v>
      </x:c>
      <x:c r="U10" s="28" t="str">
        <x:v>Create</x:v>
      </x:c>
      <x:c r="V10" s="28" t="str">
        <x:v>assignments</x:v>
      </x:c>
      <x:c r="W10" s="28" t="str">
        <x:v>visit_id, inspector_id</x:v>
      </x:c>
      <x:c r="X10" s="28" t="str">
        <x:v>none</x:v>
      </x:c>
      <x:c r="Y10" s="28" t="str">
        <x:v>assigned</x:v>
      </x:c>
      <x:c r="Z10" s="28" t="str">
        <x:v>audit_events</x:v>
      </x:c>
      <x:c r="AA10" s="28" t="str">
        <x:v>Queue assignment notification</x:v>
      </x:c>
      <x:c r="AB10" s="28" t="str">
        <x:v>Assignment included</x:v>
      </x:c>
      <x:c r="AC10" s="28" t="str">
        <x:v>Atomicity risk documented</x:v>
      </x:c>
      <x:c r="AD10" s="28" t="str">
        <x:v>S07</x:v>
      </x:c>
      <x:c r="AE10" s="28" t="str">
        <x:v>Override with capability</x:v>
      </x:c>
      <x:c r="AF10" s="28" t="str">
        <x:v>No eligible inspector</x:v>
      </x:c>
      <x:c r="AG10" s="28" t="str">
        <x:v>Adjust window/assignment</x:v>
      </x:c>
      <x:c r="AH10" s="28" t="str">
        <x:v>BP-006</x:v>
      </x:c>
      <x:c r="AI10" s="28" t="str">
        <x:v>SCR-003</x:v>
      </x:c>
      <x:c r="AJ10" s="28" t="str">
        <x:v>https://github.com/Vikram-Indla/Inspection/blob/ada62124c5f8c8066cec397dc70fab31be9b0c7d/apps/web/src/app/(app)/planning/single/page.tsx</x:v>
      </x:c>
      <x:c r="AK10" s="28" t="str">
        <x:v>High</x:v>
      </x:c>
      <x:c r="AL10" s="28"/>
      <x:c r="AM10" s="28"/>
    </x:row>
    <x:row r="11" ht="30" customHeight="1">
      <x:c r="A11" s="28" t="str">
        <x:v>JRN-PLANNER-SINGLE-001</x:v>
      </x:c>
      <x:c r="B11" s="28" t="str"/>
      <x:c r="C11" s="28" t="str">
        <x:v>JRN-PLANNER-SINGLE-001-S05</x:v>
      </x:c>
      <x:c r="D11" s="28" t="n">
        <x:v>7</x:v>
      </x:c>
      <x:c r="E11" s="28" t="str">
        <x:v>Planner</x:v>
      </x:c>
      <x:c r="F11" s="28" t="str">
        <x:v>Publish review</x:v>
      </x:c>
      <x:c r="G11" s="28" t="str">
        <x:v>/planning/single</x:v>
      </x:c>
      <x:c r="H11" s="28" t="str">
        <x:v>Validated draft</x:v>
      </x:c>
      <x:c r="I11" s="28" t="str">
        <x:v>Publish exactly once</x:v>
      </x:c>
      <x:c r="J11" s="28" t="str">
        <x:v>Confirm publish</x:v>
      </x:c>
      <x:c r="K11" s="28" t="str">
        <x:v>Button</x:v>
      </x:c>
      <x:c r="L11" s="28" t="str">
        <x:v>Idempotency intent</x:v>
      </x:c>
      <x:c r="M11" s="28" t="str">
        <x:v>Required</x:v>
      </x:c>
      <x:c r="N11" s="28" t="str">
        <x:v>Command</x:v>
      </x:c>
      <x:c r="O11" s="28" t="str">
        <x:v>Unique intent</x:v>
      </x:c>
      <x:c r="P11" s="28" t="str">
        <x:v>Duplicate/capacity/recheck</x:v>
      </x:c>
      <x:c r="Q11" s="28" t="str">
        <x:v>Summary intended</x:v>
      </x:c>
      <x:c r="R11" s="28" t="str">
        <x:v>visit_plans/visits/assignments</x:v>
      </x:c>
      <x:c r="S11" s="28" t="str">
        <x:v>Planning</x:v>
      </x:c>
      <x:c r="T11" s="28" t="str">
        <x:v>publish_single_visit RPC (documented)</x:v>
      </x:c>
      <x:c r="U11" s="28" t="str">
        <x:v>Create/update</x:v>
      </x:c>
      <x:c r="V11" s="28" t="str">
        <x:v>visit_plans;visits;assignments;visit_packages;audit_events;notifications</x:v>
      </x:c>
      <x:c r="W11" s="28" t="str">
        <x:v>multiple</x:v>
      </x:c>
      <x:c r="X11" s="28" t="str">
        <x:v>draft</x:v>
      </x:c>
      <x:c r="Y11" s="28" t="str">
        <x:v>published/new</x:v>
      </x:c>
      <x:c r="Z11" s="28" t="str">
        <x:v>audit_events</x:v>
      </x:c>
      <x:c r="AA11" s="28" t="str">
        <x:v>notifications queued</x:v>
      </x:c>
      <x:c r="AB11" s="28" t="str">
        <x:v>Published visit visible</x:v>
      </x:c>
      <x:c r="AC11" s="28" t="str">
        <x:v>Current path risk: some secondary writes after core commit</x:v>
      </x:c>
      <x:c r="AD11" s="28" t="str">
        <x:v>S08</x:v>
      </x:c>
      <x:c r="AE11" s="28" t="str"/>
      <x:c r="AF11" s="28" t="str">
        <x:v>Partial commit/duplicate</x:v>
      </x:c>
      <x:c r="AG11" s="28" t="str">
        <x:v>Visible recovery or atomic retry</x:v>
      </x:c>
      <x:c r="AH11" s="28" t="str">
        <x:v>BP-006</x:v>
      </x:c>
      <x:c r="AI11" s="28" t="str">
        <x:v>SCR-003</x:v>
      </x:c>
      <x:c r="AJ11" s="28" t="str">
        <x:v>https://github.com/Vikram-Indla/Inspection/blob/ada62124c5f8c8066cec397dc70fab31be9b0c7d/product-contract/operationalization/PLANNING_CLOSURE_P0_TRACE.csv</x:v>
      </x:c>
      <x:c r="AK11" s="28" t="str">
        <x:v>High</x:v>
      </x:c>
      <x:c r="AL11" s="28"/>
      <x:c r="AM11" s="28"/>
    </x:row>
    <x:row r="12" ht="30" customHeight="1">
      <x:c r="A12" s="28" t="str">
        <x:v>JRN-INSPECTOR-PREP-001</x:v>
      </x:c>
      <x:c r="B12" s="28" t="str"/>
      <x:c r="C12" s="28" t="str">
        <x:v>JRN-INSPECTOR-PREP-001-S01</x:v>
      </x:c>
      <x:c r="D12" s="28" t="n">
        <x:v>8</x:v>
      </x:c>
      <x:c r="E12" s="28" t="str">
        <x:v>Inspector</x:v>
      </x:c>
      <x:c r="F12" s="28" t="str">
        <x:v>Inspector login</x:v>
      </x:c>
      <x:c r="G12" s="28" t="str">
        <x:v>/login</x:v>
      </x:c>
      <x:c r="H12" s="28" t="str">
        <x:v>Authentication</x:v>
      </x:c>
      <x:c r="I12" s="28" t="str">
        <x:v>Assigned visit</x:v>
      </x:c>
      <x:c r="J12" s="28" t="str">
        <x:v>Authenticate</x:v>
      </x:c>
      <x:c r="K12" s="28" t="str">
        <x:v>Enter work identity/password</x:v>
      </x:c>
      <x:c r="L12" s="28" t="str">
        <x:v>Fields/button</x:v>
      </x:c>
      <x:c r="M12" s="28" t="str">
        <x:v>Work identity credentials</x:v>
      </x:c>
      <x:c r="N12" s="28" t="str">
        <x:v>Required</x:v>
      </x:c>
      <x:c r="O12" s="28" t="str">
        <x:v>Credential</x:v>
      </x:c>
      <x:c r="P12" s="28" t="str">
        <x:v>Directory/auth provider</x:v>
      </x:c>
      <x:c r="Q12" s="28" t="str">
        <x:v>Sign-in errors shown</x:v>
      </x:c>
      <x:c r="R12" s="28" t="str">
        <x:v>National ID path explicitly unavailable</x:v>
      </x:c>
      <x:c r="S12" s="28" t="str">
        <x:v>auth/profiles/roles</x:v>
      </x:c>
      <x:c r="T12" s="28" t="str">
        <x:v>Supabase auth</x:v>
      </x:c>
      <x:c r="U12" s="28" t="str">
        <x:v>signInWithPassword</x:v>
      </x:c>
      <x:c r="V12" s="28" t="str">
        <x:v>Read/session</x:v>
      </x:c>
      <x:c r="W12" s="28" t="str">
        <x:v>auth</x:v>
      </x:c>
      <x:c r="X12" s="28" t="str">
        <x:v>session</x:v>
      </x:c>
      <x:c r="Y12" s="28" t="str">
        <x:v>signed out</x:v>
      </x:c>
      <x:c r="Z12" s="28" t="str">
        <x:v>signed in</x:v>
      </x:c>
      <x:c r="AA12" s="28" t="str">
        <x:v>audit unknown</x:v>
      </x:c>
      <x:c r="AB12" s="28" t="str">
        <x:v>None</x:v>
      </x:c>
      <x:c r="AC12" s="28" t="str">
        <x:v>Landing dashboard</x:v>
      </x:c>
      <x:c r="AD12" s="28" t="str">
        <x:v>Credential failed; directory contract absent</x:v>
      </x:c>
      <x:c r="AE12" s="28" t="str">
        <x:v>S09</x:v>
      </x:c>
      <x:c r="AF12" s="28" t="str">
        <x:v>Email path</x:v>
      </x:c>
      <x:c r="AG12" s="28" t="str">
        <x:v>Invalid/disabled account</x:v>
      </x:c>
      <x:c r="AH12" s="28" t="str">
        <x:v>Reset/provision</x:v>
      </x:c>
      <x:c r="AI12" s="28" t="str">
        <x:v>BP-001</x:v>
      </x:c>
      <x:c r="AJ12" s="28" t="str">
        <x:v>SCR-002</x:v>
      </x:c>
      <x:c r="AK12" s="28" t="str">
        <x:v>https://github.com/Vikram-Indla/Inspection/blob/ada62124c5f8c8066cec397dc70fab31be9b0c7d/apps/web/src/app/login/page.tsx</x:v>
      </x:c>
      <x:c r="AL12" s="28" t="str">
        <x:v>High</x:v>
      </x:c>
      <x:c r="AM12" s="28"/>
    </x:row>
    <x:row r="13" ht="30" customHeight="1">
      <x:c r="A13" s="28" t="str">
        <x:v>JRN-INSPECTOR-PREP-001</x:v>
      </x:c>
      <x:c r="B13" s="28" t="str"/>
      <x:c r="C13" s="28" t="str">
        <x:v>JRN-INSPECTOR-PREP-001-S02</x:v>
      </x:c>
      <x:c r="D13" s="28" t="n">
        <x:v>9</x:v>
      </x:c>
      <x:c r="E13" s="28" t="str">
        <x:v>Inspector</x:v>
      </x:c>
      <x:c r="F13" s="28" t="str">
        <x:v>Assigned visits</x:v>
      </x:c>
      <x:c r="G13" s="28" t="str">
        <x:v>/field or /execution</x:v>
      </x:c>
      <x:c r="H13" s="28" t="str">
        <x:v>Task list</x:v>
      </x:c>
      <x:c r="I13" s="28" t="str">
        <x:v>Authenticated inspector</x:v>
      </x:c>
      <x:c r="J13" s="28" t="str">
        <x:v>Discover assignment</x:v>
      </x:c>
      <x:c r="K13" s="28" t="str">
        <x:v>Open task</x:v>
      </x:c>
      <x:c r="L13" s="28" t="str">
        <x:v>Link/card</x:v>
      </x:c>
      <x:c r="M13" s="28" t="str">
        <x:v>None</x:v>
      </x:c>
      <x:c r="N13" s="28" t="str">
        <x:v>N/A</x:v>
      </x:c>
      <x:c r="O13" s="28" t="str">
        <x:v>Navigation</x:v>
      </x:c>
      <x:c r="P13" s="28" t="str">
        <x:v>Assigned only</x:v>
      </x:c>
      <x:c r="Q13" s="28" t="str">
        <x:v>RLS and assignment</x:v>
      </x:c>
      <x:c r="R13" s="28" t="str">
        <x:v>Cannot runtime inspect</x:v>
      </x:c>
      <x:c r="S13" s="28" t="str">
        <x:v>assignments/visits</x:v>
      </x:c>
      <x:c r="T13" s="28" t="str">
        <x:v>Planning</x:v>
      </x:c>
      <x:c r="U13" s="28" t="str">
        <x:v>RLS-scoped read</x:v>
      </x:c>
      <x:c r="V13" s="28" t="str">
        <x:v>Read</x:v>
      </x:c>
      <x:c r="W13" s="28" t="str">
        <x:v>assignments/visits</x:v>
      </x:c>
      <x:c r="X13" s="28" t="str">
        <x:v>assigned_to/status</x:v>
      </x:c>
      <x:c r="Y13" s="28" t="str">
        <x:v>published/new</x:v>
      </x:c>
      <x:c r="Z13" s="28" t="str">
        <x:v>new</x:v>
      </x:c>
      <x:c r="AA13" s="28" t="str">
        <x:v>None</x:v>
      </x:c>
      <x:c r="AB13" s="28" t="str">
        <x:v>Assignment notice</x:v>
      </x:c>
      <x:c r="AC13" s="28" t="str">
        <x:v>Visit detail</x:v>
      </x:c>
      <x:c r="AD13" s="28" t="str">
        <x:v>Blocked by authentication and field-scope exclusion</x:v>
      </x:c>
      <x:c r="AE13" s="28" t="str">
        <x:v>S10</x:v>
      </x:c>
      <x:c r="AF13" s="28" t="str">
        <x:v>Refresh/relogin</x:v>
      </x:c>
      <x:c r="AG13" s="28" t="str">
        <x:v>Missing assignment</x:v>
      </x:c>
      <x:c r="AH13" s="28" t="str">
        <x:v>Planner repair</x:v>
      </x:c>
      <x:c r="AI13" s="28" t="str">
        <x:v>BP-009</x:v>
      </x:c>
      <x:c r="AJ13" s="28" t="str">
        <x:v>SCR-003</x:v>
      </x:c>
      <x:c r="AK13" s="28" t="str">
        <x:v>https://github.com/Vikram-Indla/Inspection/blob/ada62124c5f8c8066cec397dc70fab31be9b0c7d/apps/web/src/app/(app)/execution/page.tsx</x:v>
      </x:c>
      <x:c r="AL13" s="28" t="str">
        <x:v>Medium</x:v>
      </x:c>
      <x:c r="AM13" s="28"/>
    </x:row>
    <x:row r="14" ht="30" customHeight="1">
      <x:c r="A14" s="28" t="str">
        <x:v>JRN-INSPECTOR-PREP-001</x:v>
      </x:c>
      <x:c r="B14" s="28" t="str"/>
      <x:c r="C14" s="28" t="str">
        <x:v>JRN-INSPECTOR-PREP-001-S03</x:v>
      </x:c>
      <x:c r="D14" s="28" t="n">
        <x:v>10</x:v>
      </x:c>
      <x:c r="E14" s="28" t="str">
        <x:v>Inspector</x:v>
      </x:c>
      <x:c r="F14" s="28" t="str">
        <x:v>Visit preparation</x:v>
      </x:c>
      <x:c r="G14" s="28" t="str">
        <x:v>/field/[visitId]</x:v>
      </x:c>
      <x:c r="H14" s="28" t="str">
        <x:v>Preparation</x:v>
      </x:c>
      <x:c r="I14" s="28" t="str">
        <x:v>Assigned published visit</x:v>
      </x:c>
      <x:c r="J14" s="28" t="str">
        <x:v>Set execution date/mode/package and confirm ready</x:v>
      </x:c>
      <x:c r="K14" s="28" t="str">
        <x:v>Form/actions</x:v>
      </x:c>
      <x:c r="L14" s="28" t="str">
        <x:v>Execution date/mode/package</x:v>
      </x:c>
      <x:c r="M14" s="28" t="str">
        <x:v>Required</x:v>
      </x:c>
      <x:c r="N14" s="28" t="str">
        <x:v>Date/select</x:v>
      </x:c>
      <x:c r="O14" s="28" t="str">
        <x:v>Inside planner window; eligible mode</x:v>
      </x:c>
      <x:c r="P14" s="28" t="str">
        <x:v>Validation intended</x:v>
      </x:c>
      <x:c r="Q14" s="28" t="str">
        <x:v>visit_preparations/visit_packages</x:v>
      </x:c>
      <x:c r="R14" s="28" t="str">
        <x:v>Preparation tables</x:v>
      </x:c>
      <x:c r="S14" s="28" t="str">
        <x:v>Server actions</x:v>
      </x:c>
      <x:c r="T14" s="28" t="str">
        <x:v>Create/update</x:v>
      </x:c>
      <x:c r="U14" s="28" t="str">
        <x:v>visit_preparations;visit_packages</x:v>
      </x:c>
      <x:c r="V14" s="28" t="str">
        <x:v>multiple</x:v>
      </x:c>
      <x:c r="W14" s="28" t="str">
        <x:v>new</x:v>
      </x:c>
      <x:c r="X14" s="28" t="str">
        <x:v>prepared</x:v>
      </x:c>
      <x:c r="Y14" s="28" t="str">
        <x:v>lifecycle/audit</x:v>
      </x:c>
      <x:c r="Z14" s="28" t="str">
        <x:v>Possible status notice</x:v>
      </x:c>
      <x:c r="AA14" s="28" t="str">
        <x:v>Ready for journey</x:v>
      </x:c>
      <x:c r="AB14" s="28" t="str">
        <x:v>Not runtime verified</x:v>
      </x:c>
      <x:c r="AC14" s="28" t="str">
        <x:v>S11</x:v>
      </x:c>
      <x:c r="AD14" s="28" t="str">
        <x:v>Save/resume</x:v>
      </x:c>
      <x:c r="AE14" s="28" t="str">
        <x:v>Missing config/package</x:v>
      </x:c>
      <x:c r="AF14" s="28" t="str">
        <x:v>Admin/planner repair</x:v>
      </x:c>
      <x:c r="AG14" s="28" t="str">
        <x:v>BP-009</x:v>
      </x:c>
      <x:c r="AH14" s="28" t="str"/>
      <x:c r="AI14" s="28" t="str">
        <x:v>https://github.com/Vikram-Indla/Inspection/blob/ada62124c5f8c8066cec397dc70fab31be9b0c7d/apps/web/src/app/(app)/field/[visitId]/page.tsx</x:v>
      </x:c>
      <x:c r="AJ14" s="28" t="str">
        <x:v>Medium</x:v>
      </x:c>
      <x:c r="AK14" s="28"/>
      <x:c r="AL14" s="28"/>
      <x:c r="AM14" s="28"/>
    </x:row>
    <x:row r="15" ht="30" customHeight="1">
      <x:c r="A15" s="28" t="str">
        <x:v>JRN-INSPECTOR-TRAVEL-001</x:v>
      </x:c>
      <x:c r="B15" s="28" t="str"/>
      <x:c r="C15" s="28" t="str">
        <x:v>JRN-INSPECTOR-TRAVEL-001-S01</x:v>
      </x:c>
      <x:c r="D15" s="28" t="n">
        <x:v>11</x:v>
      </x:c>
      <x:c r="E15" s="28" t="str">
        <x:v>Inspector</x:v>
      </x:c>
      <x:c r="F15" s="28" t="str">
        <x:v>Travel</x:v>
      </x:c>
      <x:c r="G15" s="28" t="str">
        <x:v>/field/[visitId]/travel</x:v>
      </x:c>
      <x:c r="H15" s="28" t="str">
        <x:v>Prepared</x:v>
      </x:c>
      <x:c r="I15" s="28" t="str">
        <x:v>Start journey</x:v>
      </x:c>
      <x:c r="J15" s="28" t="str">
        <x:v>Start journey action</x:v>
      </x:c>
      <x:c r="K15" s="28" t="str">
        <x:v>Button</x:v>
      </x:c>
      <x:c r="L15" s="28" t="str">
        <x:v>Current time/location</x:v>
      </x:c>
      <x:c r="M15" s="28" t="str">
        <x:v>Conditional</x:v>
      </x:c>
      <x:c r="N15" s="28" t="str">
        <x:v>Location/timestamp</x:v>
      </x:c>
      <x:c r="O15" s="28" t="str">
        <x:v>Inside visit window</x:v>
      </x:c>
      <x:c r="P15" s="28" t="str">
        <x:v>Blocking/overdue behavior documented</x:v>
      </x:c>
      <x:c r="Q15" s="28" t="str">
        <x:v>visits/journey_sessions</x:v>
      </x:c>
      <x:c r="R15" s="28" t="str">
        <x:v>Journey tables</x:v>
      </x:c>
      <x:c r="S15" s="28" t="str">
        <x:v>Transition action</x:v>
      </x:c>
      <x:c r="T15" s="28" t="str">
        <x:v>Create/update</x:v>
      </x:c>
      <x:c r="U15" s="28" t="str">
        <x:v>journey_sessions;visit_lifecycle_events</x:v>
      </x:c>
      <x:c r="V15" s="28" t="str">
        <x:v>timestamps</x:v>
      </x:c>
      <x:c r="W15" s="28" t="str">
        <x:v>prepared</x:v>
      </x:c>
      <x:c r="X15" s="28" t="str">
        <x:v>on_the_way</x:v>
      </x:c>
      <x:c r="Y15" s="28" t="str">
        <x:v>audit/lifecycle</x:v>
      </x:c>
      <x:c r="Z15" s="28" t="str">
        <x:v>Operations update</x:v>
      </x:c>
      <x:c r="AA15" s="28" t="str">
        <x:v>Journey active</x:v>
      </x:c>
      <x:c r="AB15" s="28" t="str">
        <x:v>Not runtime verified</x:v>
      </x:c>
      <x:c r="AC15" s="28" t="str">
        <x:v>S12</x:v>
      </x:c>
      <x:c r="AD15" s="28" t="str">
        <x:v>Overdue warning</x:v>
      </x:c>
      <x:c r="AE15" s="28" t="str">
        <x:v>Outside window/provider failure</x:v>
      </x:c>
      <x:c r="AF15" s="28" t="str">
        <x:v>Request override</x:v>
      </x:c>
      <x:c r="AG15" s="28" t="str">
        <x:v>BP-010</x:v>
      </x:c>
      <x:c r="AH15" s="28" t="str"/>
      <x:c r="AI15" s="28" t="str">
        <x:v>https://github.com/Vikram-Indla/Inspection/blob/ada62124c5f8c8066cec397dc70fab31be9b0c7d/apps/web/src/app/(app)/field/[visitId]/travel/page.tsx</x:v>
      </x:c>
      <x:c r="AJ15" s="28" t="str">
        <x:v>Medium</x:v>
      </x:c>
      <x:c r="AK15" s="28"/>
      <x:c r="AL15" s="28"/>
      <x:c r="AM15" s="28"/>
    </x:row>
    <x:row r="16" ht="30" customHeight="1">
      <x:c r="A16" s="28" t="str">
        <x:v>JRN-INSPECTOR-TRAVEL-001</x:v>
      </x:c>
      <x:c r="B16" s="28" t="str"/>
      <x:c r="C16" s="28" t="str">
        <x:v>JRN-INSPECTOR-TRAVEL-001-S02</x:v>
      </x:c>
      <x:c r="D16" s="28" t="n">
        <x:v>12</x:v>
      </x:c>
      <x:c r="E16" s="28" t="str">
        <x:v>Inspector</x:v>
      </x:c>
      <x:c r="F16" s="28" t="str">
        <x:v>Arrival</x:v>
      </x:c>
      <x:c r="G16" s="28" t="str">
        <x:v>/field/[visitId]/travel</x:v>
      </x:c>
      <x:c r="H16" s="28" t="str">
        <x:v>On the way</x:v>
      </x:c>
      <x:c r="I16" s="28" t="str">
        <x:v>Confirm arrival</x:v>
      </x:c>
      <x:c r="J16" s="28" t="str">
        <x:v>Arrival action + evidence</x:v>
      </x:c>
      <x:c r="K16" s="28" t="str">
        <x:v>Button/capture</x:v>
      </x:c>
      <x:c r="L16" s="28" t="str">
        <x:v>Location/evidence</x:v>
      </x:c>
      <x:c r="M16" s="28" t="str">
        <x:v>Conditional</x:v>
      </x:c>
      <x:c r="N16" s="28" t="str">
        <x:v>Geo/evidence</x:v>
      </x:c>
      <x:c r="O16" s="28" t="str">
        <x:v>Geofence policy if configured</x:v>
      </x:c>
      <x:c r="P16" s="28" t="str">
        <x:v>Override path intended</x:v>
      </x:c>
      <x:c r="Q16" s="28" t="str">
        <x:v>geo_events/evidence</x:v>
      </x:c>
      <x:c r="R16" s="28" t="str">
        <x:v>Journey/execution</x:v>
      </x:c>
      <x:c r="S16" s="28" t="str">
        <x:v>Transition action</x:v>
      </x:c>
      <x:c r="T16" s="28" t="str">
        <x:v>Create/update</x:v>
      </x:c>
      <x:c r="U16" s="28" t="str">
        <x:v>geo_events;evidence;visits</x:v>
      </x:c>
      <x:c r="V16" s="28" t="str">
        <x:v>coordinates/status</x:v>
      </x:c>
      <x:c r="W16" s="28" t="str">
        <x:v>on_the_way</x:v>
      </x:c>
      <x:c r="X16" s="28" t="str">
        <x:v>arrived</x:v>
      </x:c>
      <x:c r="Y16" s="28" t="str">
        <x:v>audit/lifecycle</x:v>
      </x:c>
      <x:c r="Z16" s="28" t="str">
        <x:v>Operations update</x:v>
      </x:c>
      <x:c r="AA16" s="28" t="str">
        <x:v>Arrival accepted</x:v>
      </x:c>
      <x:c r="AB16" s="28" t="str">
        <x:v>12 ambiguous arrival evidence links in live data</x:v>
      </x:c>
      <x:c r="AC16" s="28" t="str">
        <x:v>S13</x:v>
      </x:c>
      <x:c r="AD16" s="28" t="str">
        <x:v>Geo override</x:v>
      </x:c>
      <x:c r="AE16" s="28" t="str">
        <x:v>Out of geofence</x:v>
      </x:c>
      <x:c r="AF16" s="28" t="str">
        <x:v>Request override</x:v>
      </x:c>
      <x:c r="AG16" s="28" t="str">
        <x:v>BP-010</x:v>
      </x:c>
      <x:c r="AH16" s="28" t="str"/>
      <x:c r="AI16" s="28" t="str">
        <x:v>https://github.com/Vikram-Indla/Inspection/blob/ada62124c5f8c8066cec397dc70fab31be9b0c7d/product-contract/seeding-discovery/CURRENT_DATA_QUALITY_REPORT.md</x:v>
      </x:c>
      <x:c r="AJ16" s="28" t="str">
        <x:v>High</x:v>
      </x:c>
      <x:c r="AK16" s="28"/>
      <x:c r="AL16" s="28"/>
      <x:c r="AM16" s="28"/>
    </x:row>
    <x:row r="17" ht="30" customHeight="1">
      <x:c r="A17" s="28" t="str">
        <x:v>JRN-INSPECTOR-EXEC-001</x:v>
      </x:c>
      <x:c r="B17" s="28" t="str"/>
      <x:c r="C17" s="28" t="str">
        <x:v>JRN-INSPECTOR-EXEC-001-S01</x:v>
      </x:c>
      <x:c r="D17" s="28" t="n">
        <x:v>13</x:v>
      </x:c>
      <x:c r="E17" s="28" t="str">
        <x:v>Inspector</x:v>
      </x:c>
      <x:c r="F17" s="28" t="str">
        <x:v>Inspection checklist</x:v>
      </x:c>
      <x:c r="G17" s="28" t="str">
        <x:v>/field/inspection/[id]</x:v>
      </x:c>
      <x:c r="H17" s="28" t="str">
        <x:v>Arrived</x:v>
      </x:c>
      <x:c r="I17" s="28" t="str">
        <x:v>Start inspection</x:v>
      </x:c>
      <x:c r="J17" s="28" t="str">
        <x:v>Start action</x:v>
      </x:c>
      <x:c r="K17" s="28" t="str">
        <x:v>Button</x:v>
      </x:c>
      <x:c r="L17" s="28" t="str">
        <x:v>Timestamp</x:v>
      </x:c>
      <x:c r="M17" s="28" t="str">
        <x:v>Required</x:v>
      </x:c>
      <x:c r="N17" s="28" t="str">
        <x:v>Timestamp</x:v>
      </x:c>
      <x:c r="O17" s="28" t="str">
        <x:v>Eligibility</x:v>
      </x:c>
      <x:c r="P17" s="28" t="str">
        <x:v>Blocking messages intended</x:v>
      </x:c>
      <x:c r="Q17" s="28" t="str">
        <x:v>inspections/package snapshots</x:v>
      </x:c>
      <x:c r="R17" s="28" t="str">
        <x:v>Execution tables</x:v>
      </x:c>
      <x:c r="S17" s="28" t="str">
        <x:v>Server action</x:v>
      </x:c>
      <x:c r="T17" s="28" t="str">
        <x:v>Create/update</x:v>
      </x:c>
      <x:c r="U17" s="28" t="str">
        <x:v>inspections</x:v>
      </x:c>
      <x:c r="V17" s="28" t="str">
        <x:v>started_at,status</x:v>
      </x:c>
      <x:c r="W17" s="28" t="str">
        <x:v>not_started</x:v>
      </x:c>
      <x:c r="X17" s="28" t="str">
        <x:v>in_progress</x:v>
      </x:c>
      <x:c r="Y17" s="28" t="str">
        <x:v>audit/lifecycle</x:v>
      </x:c>
      <x:c r="Z17" s="28" t="str">
        <x:v>None</x:v>
      </x:c>
      <x:c r="AA17" s="28" t="str">
        <x:v>Checklist opens</x:v>
      </x:c>
      <x:c r="AB17" s="28" t="str">
        <x:v>Not runtime verified</x:v>
      </x:c>
      <x:c r="AC17" s="28" t="str">
        <x:v>S14</x:v>
      </x:c>
      <x:c r="AD17" s="28" t="str"/>
      <x:c r="AE17" s="28" t="str">
        <x:v>Ineligible visit</x:v>
      </x:c>
      <x:c r="AF17" s="28" t="str">
        <x:v>Repair prerequisites</x:v>
      </x:c>
      <x:c r="AG17" s="28" t="str">
        <x:v>BP-011</x:v>
      </x:c>
      <x:c r="AH17" s="28" t="str"/>
      <x:c r="AI17" s="28" t="str">
        <x:v>https://github.com/Vikram-Indla/Inspection/blob/ada62124c5f8c8066cec397dc70fab31be9b0c7d/apps/web/src/app/(app)/field/inspection/[id]/page.tsx</x:v>
      </x:c>
      <x:c r="AJ17" s="28" t="str">
        <x:v>Medium</x:v>
      </x:c>
      <x:c r="AK17" s="28"/>
      <x:c r="AL17" s="28"/>
      <x:c r="AM17" s="28"/>
    </x:row>
    <x:row r="18" ht="30" customHeight="1">
      <x:c r="A18" s="28" t="str">
        <x:v>JRN-INSPECTOR-EXEC-001</x:v>
      </x:c>
      <x:c r="B18" s="28" t="str">
        <x:v>JRN-INSPECTOR-EXEC-001-V01</x:v>
      </x:c>
      <x:c r="C18" s="28" t="str">
        <x:v>JRN-INSPECTOR-EXEC-001-S02</x:v>
      </x:c>
      <x:c r="D18" s="28" t="n">
        <x:v>14</x:v>
      </x:c>
      <x:c r="E18" s="28" t="str">
        <x:v>Inspector</x:v>
      </x:c>
      <x:c r="F18" s="28" t="str">
        <x:v>Checklist sections</x:v>
      </x:c>
      <x:c r="G18" s="28" t="str">
        <x:v>/field/inspection/[id]</x:v>
      </x:c>
      <x:c r="H18" s="28" t="str">
        <x:v>In progress</x:v>
      </x:c>
      <x:c r="I18" s="28" t="str">
        <x:v>Answer mandatory/conditional items</x:v>
      </x:c>
      <x:c r="J18" s="28" t="str">
        <x:v>Enter/select responses</x:v>
      </x:c>
      <x:c r="K18" s="28" t="str">
        <x:v>Inputs</x:v>
      </x:c>
      <x:c r="L18" s="28" t="str">
        <x:v>Responses by item data type</x:v>
      </x:c>
      <x:c r="M18" s="28" t="str">
        <x:v>Mixed</x:v>
      </x:c>
      <x:c r="N18" s="28" t="str">
        <x:v>Text/number/select/date</x:v>
      </x:c>
      <x:c r="O18" s="28" t="str">
        <x:v>Versioned item constraints</x:v>
      </x:c>
      <x:c r="P18" s="28" t="str">
        <x:v>Per-item guidance</x:v>
      </x:c>
      <x:c r="Q18" s="28" t="str">
        <x:v>inspection_item_versions/responses</x:v>
      </x:c>
      <x:c r="R18" s="28" t="str">
        <x:v>Execution/config</x:v>
      </x:c>
      <x:c r="S18" s="28" t="str">
        <x:v>Client/server validation</x:v>
      </x:c>
      <x:c r="T18" s="28" t="str">
        <x:v>Create/update</x:v>
      </x:c>
      <x:c r="U18" s="28" t="str">
        <x:v>checklist_responses</x:v>
      </x:c>
      <x:c r="V18" s="28" t="str">
        <x:v>answer fields</x:v>
      </x:c>
      <x:c r="W18" s="28" t="str">
        <x:v>in_progress</x:v>
      </x:c>
      <x:c r="X18" s="28" t="str">
        <x:v>in_progress</x:v>
      </x:c>
      <x:c r="Y18" s="28" t="str">
        <x:v>audit where configured</x:v>
      </x:c>
      <x:c r="Z18" s="28" t="str">
        <x:v>None</x:v>
      </x:c>
      <x:c r="AA18" s="28" t="str">
        <x:v>Progress saved</x:v>
      </x:c>
      <x:c r="AB18" s="28" t="str">
        <x:v>No runtime proof of every data type</x:v>
      </x:c>
      <x:c r="AC18" s="28" t="str">
        <x:v>S15</x:v>
      </x:c>
      <x:c r="AD18" s="28" t="str">
        <x:v>Draft/resume</x:v>
      </x:c>
      <x:c r="AE18" s="28" t="str">
        <x:v>Validation failure</x:v>
      </x:c>
      <x:c r="AF18" s="28" t="str">
        <x:v>Correct answer</x:v>
      </x:c>
      <x:c r="AG18" s="28" t="str">
        <x:v>BP-011</x:v>
      </x:c>
      <x:c r="AH18" s="28" t="str"/>
      <x:c r="AI18" s="28" t="str">
        <x:v>https://github.com/Vikram-Indla/Inspection/blob/ada62124c5f8c8066cec397dc70fab31be9b0c7d/apps/web/src/app/(app)/field/inspection/[id]/page.tsx</x:v>
      </x:c>
      <x:c r="AJ18" s="28" t="str">
        <x:v>Medium</x:v>
      </x:c>
      <x:c r="AK18" s="28"/>
      <x:c r="AL18" s="28"/>
      <x:c r="AM18" s="28"/>
    </x:row>
    <x:row r="19" ht="30" customHeight="1">
      <x:c r="A19" s="28" t="str">
        <x:v>JRN-INSPECTOR-EXEC-001</x:v>
      </x:c>
      <x:c r="B19" s="28" t="str">
        <x:v>JRN-INSPECTOR-EXEC-001-V02</x:v>
      </x:c>
      <x:c r="C19" s="28" t="str">
        <x:v>JRN-INSPECTOR-EXEC-001-S03</x:v>
      </x:c>
      <x:c r="D19" s="28" t="n">
        <x:v>15</x:v>
      </x:c>
      <x:c r="E19" s="28" t="str">
        <x:v>Inspector</x:v>
      </x:c>
      <x:c r="F19" s="28" t="str">
        <x:v>Evidence and findings</x:v>
      </x:c>
      <x:c r="G19" s="28" t="str">
        <x:v>/field/inspection/[id]</x:v>
      </x:c>
      <x:c r="H19" s="28" t="str">
        <x:v>In progress</x:v>
      </x:c>
      <x:c r="I19" s="28" t="str">
        <x:v>Attach evidence and record finding/violation</x:v>
      </x:c>
      <x:c r="J19" s="28" t="str">
        <x:v>Capture/upload/form</x:v>
      </x:c>
      <x:c r="K19" s="28" t="str">
        <x:v>Attachment and description/classification</x:v>
      </x:c>
      <x:c r="L19" s="28" t="str">
        <x:v>Conditional</x:v>
      </x:c>
      <x:c r="M19" s="28" t="str">
        <x:v>File/text/select</x:v>
      </x:c>
      <x:c r="N19" s="28" t="str">
        <x:v>Configured evidence and violation rules</x:v>
      </x:c>
      <x:c r="O19" s="28" t="str">
        <x:v>Upload feedback intended</x:v>
      </x:c>
      <x:c r="P19" s="28" t="str">
        <x:v>evidence/findings/violations</x:v>
      </x:c>
      <x:c r="Q19" s="28" t="str">
        <x:v>Execution tables/storage</x:v>
      </x:c>
      <x:c r="R19" s="28" t="str">
        <x:v>Upload + mutations</x:v>
      </x:c>
      <x:c r="S19" s="28" t="str">
        <x:v>Create</x:v>
      </x:c>
      <x:c r="T19" s="28" t="str">
        <x:v>evidence;findings;violations;storage objects</x:v>
      </x:c>
      <x:c r="U19" s="28" t="str">
        <x:v>multiple</x:v>
      </x:c>
      <x:c r="V19" s="28" t="str">
        <x:v>in_progress</x:v>
      </x:c>
      <x:c r="W19" s="28" t="str">
        <x:v>in_progress</x:v>
      </x:c>
      <x:c r="X19" s="28" t="str">
        <x:v>audit</x:v>
      </x:c>
      <x:c r="Y19" s="28" t="str">
        <x:v>Potential escalation</x:v>
      </x:c>
      <x:c r="Z19" s="28" t="str">
        <x:v>Linked evidence/finding</x:v>
      </x:c>
      <x:c r="AA19" s="28" t="str">
        <x:v>Attachment/runtime unavailable; products/material data sparse</x:v>
      </x:c>
      <x:c r="AB19" s="28" t="str">
        <x:v>S16</x:v>
      </x:c>
      <x:c r="AC19" s="28" t="str">
        <x:v>Retry attachment</x:v>
      </x:c>
      <x:c r="AD19" s="28" t="str">
        <x:v>Upload/integration failure</x:v>
      </x:c>
      <x:c r="AE19" s="28" t="str">
        <x:v>Retry/remove/replace</x:v>
      </x:c>
      <x:c r="AF19" s="28" t="str">
        <x:v>BP-012</x:v>
      </x:c>
      <x:c r="AG19" s="28" t="str"/>
      <x:c r="AH19" s="28" t="str">
        <x:v>https://github.com/Vikram-Indla/Inspection/blob/ada62124c5f8c8066cec397dc70fab31be9b0c7d/apps/web/src/app/(app)/field/inspection/[id]/page.tsx</x:v>
      </x:c>
      <x:c r="AI19" s="28" t="str">
        <x:v>Medium</x:v>
      </x:c>
      <x:c r="AJ19" s="28"/>
      <x:c r="AK19" s="28"/>
      <x:c r="AL19" s="28"/>
      <x:c r="AM19" s="28"/>
    </x:row>
    <x:row r="20" ht="30" customHeight="1">
      <x:c r="A20" s="28" t="str">
        <x:v>JRN-INSPECTOR-EXEC-001</x:v>
      </x:c>
      <x:c r="B20" s="28" t="str">
        <x:v>JRN-INSPECTOR-EXEC-001-V03</x:v>
      </x:c>
      <x:c r="C20" s="28" t="str">
        <x:v>JRN-INSPECTOR-EXEC-001-S04</x:v>
      </x:c>
      <x:c r="D20" s="28" t="n">
        <x:v>16</x:v>
      </x:c>
      <x:c r="E20" s="28" t="str">
        <x:v>Inspector</x:v>
      </x:c>
      <x:c r="F20" s="28" t="str">
        <x:v>Draft/resume</x:v>
      </x:c>
      <x:c r="G20" s="28" t="str">
        <x:v>/field/inspection/[id]</x:v>
      </x:c>
      <x:c r="H20" s="28" t="str">
        <x:v>Partial checklist</x:v>
      </x:c>
      <x:c r="I20" s="28" t="str">
        <x:v>Save and resume without loss</x:v>
      </x:c>
      <x:c r="J20" s="28" t="str">
        <x:v>Save draft / leave / return</x:v>
      </x:c>
      <x:c r="K20" s="28" t="str">
        <x:v>Button/navigation</x:v>
      </x:c>
      <x:c r="L20" s="28" t="str">
        <x:v>Current responses</x:v>
      </x:c>
      <x:c r="M20" s="28" t="str">
        <x:v>Required</x:v>
      </x:c>
      <x:c r="N20" s="28" t="str">
        <x:v>Draft persistence</x:v>
      </x:c>
      <x:c r="O20" s="28" t="str">
        <x:v>Optimistic/offline conflict rules</x:v>
      </x:c>
      <x:c r="P20" s="28" t="str">
        <x:v>Conflict UI intended for field</x:v>
      </x:c>
      <x:c r="Q20" s="28" t="str">
        <x:v>responses/evidence</x:v>
      </x:c>
      <x:c r="R20" s="28" t="str">
        <x:v>Execution + local store</x:v>
      </x:c>
      <x:c r="S20" s="28" t="str">
        <x:v>Draft mutations</x:v>
      </x:c>
      <x:c r="T20" s="28" t="str">
        <x:v>Update</x:v>
      </x:c>
      <x:c r="U20" s="28" t="str">
        <x:v>checklist_responses/evidence</x:v>
      </x:c>
      <x:c r="V20" s="28" t="str">
        <x:v>multiple</x:v>
      </x:c>
      <x:c r="W20" s="28" t="str">
        <x:v>in_progress</x:v>
      </x:c>
      <x:c r="X20" s="28" t="str">
        <x:v>in_progress</x:v>
      </x:c>
      <x:c r="Y20" s="28" t="str">
        <x:v>audit optional</x:v>
      </x:c>
      <x:c r="Z20" s="28" t="str">
        <x:v>None</x:v>
      </x:c>
      <x:c r="AA20" s="28" t="str">
        <x:v>Same version restored</x:v>
      </x:c>
      <x:c r="AB20" s="28" t="str">
        <x:v>Desktop shared offline behavior not verified</x:v>
      </x:c>
      <x:c r="AC20" s="28" t="str">
        <x:v>S17</x:v>
      </x:c>
      <x:c r="AD20" s="28" t="str">
        <x:v>Refresh/relogin</x:v>
      </x:c>
      <x:c r="AE20" s="28" t="str">
        <x:v>Conflict/stale data</x:v>
      </x:c>
      <x:c r="AF20" s="28" t="str">
        <x:v>Conflict resolver</x:v>
      </x:c>
      <x:c r="AG20" s="28" t="str">
        <x:v>BP-012</x:v>
      </x:c>
      <x:c r="AH20" s="28" t="str"/>
      <x:c r="AI20" s="28" t="str">
        <x:v>https://github.com/Vikram-Indla/Inspection/blob/ada62124c5f8c8066cec397dc70fab31be9b0c7d/apps/web/src/app/(app)/field/settings/conflicts/page.tsx</x:v>
      </x:c>
      <x:c r="AJ20" s="28" t="str">
        <x:v>Low</x:v>
      </x:c>
      <x:c r="AK20" s="28"/>
      <x:c r="AL20" s="28"/>
      <x:c r="AM20" s="28"/>
    </x:row>
    <x:row r="21" ht="30" customHeight="1">
      <x:c r="A21" s="28" t="str">
        <x:v>JRN-INSPECTOR-EXEC-001</x:v>
      </x:c>
      <x:c r="B21" s="28" t="str"/>
      <x:c r="C21" s="28" t="str">
        <x:v>JRN-INSPECTOR-EXEC-001-S05</x:v>
      </x:c>
      <x:c r="D21" s="28" t="n">
        <x:v>17</x:v>
      </x:c>
      <x:c r="E21" s="28" t="str">
        <x:v>Inspector</x:v>
      </x:c>
      <x:c r="F21" s="28" t="str">
        <x:v>Submission</x:v>
      </x:c>
      <x:c r="G21" s="28" t="str">
        <x:v>/field/inspection/[id]</x:v>
      </x:c>
      <x:c r="H21" s="28" t="str">
        <x:v>Complete checklist</x:v>
      </x:c>
      <x:c r="I21" s="28" t="str">
        <x:v>Submit immutable inspection version</x:v>
      </x:c>
      <x:c r="J21" s="28" t="str">
        <x:v>Submit + confirm</x:v>
      </x:c>
      <x:c r="K21" s="28" t="str">
        <x:v>Button/dialog</x:v>
      </x:c>
      <x:c r="L21" s="28" t="str">
        <x:v>Attestation/completeness</x:v>
      </x:c>
      <x:c r="M21" s="28" t="str">
        <x:v>Required</x:v>
      </x:c>
      <x:c r="N21" s="28" t="str">
        <x:v>Boolean/command</x:v>
      </x:c>
      <x:c r="O21" s="28" t="str">
        <x:v>Mandatory/conditional/evidence completeness</x:v>
      </x:c>
      <x:c r="P21" s="28" t="str">
        <x:v>Error summary intended</x:v>
      </x:c>
      <x:c r="Q21" s="28" t="str">
        <x:v>inspection/responses</x:v>
      </x:c>
      <x:c r="R21" s="28" t="str">
        <x:v>Execution/review</x:v>
      </x:c>
      <x:c r="S21" s="28" t="str">
        <x:v>Submission action</x:v>
      </x:c>
      <x:c r="T21" s="28" t="str">
        <x:v>Create/update</x:v>
      </x:c>
      <x:c r="U21" s="28" t="str">
        <x:v>submission_versions;inspections;audit_events;notifications</x:v>
      </x:c>
      <x:c r="V21" s="28" t="str">
        <x:v>snapshot/status</x:v>
      </x:c>
      <x:c r="W21" s="28" t="str">
        <x:v>in_progress</x:v>
      </x:c>
      <x:c r="X21" s="28" t="str">
        <x:v>submitted</x:v>
      </x:c>
      <x:c r="Y21" s="28" t="str">
        <x:v>audit_events</x:v>
      </x:c>
      <x:c r="Z21" s="28" t="str">
        <x:v>Reviewer queue</x:v>
      </x:c>
      <x:c r="AA21" s="28" t="str">
        <x:v>Immutable version and receipt</x:v>
      </x:c>
      <x:c r="AB21" s="28" t="str">
        <x:v>Live DB contains approved inspection without version</x:v>
      </x:c>
      <x:c r="AC21" s="28" t="str">
        <x:v>S18</x:v>
      </x:c>
      <x:c r="AD21" s="28" t="str"/>
      <x:c r="AE21" s="28" t="str">
        <x:v>Validation or duplicate submit</x:v>
      </x:c>
      <x:c r="AF21" s="28" t="str">
        <x:v>Correct/retry idempotently</x:v>
      </x:c>
      <x:c r="AG21" s="28" t="str">
        <x:v>BP-014</x:v>
      </x:c>
      <x:c r="AH21" s="28" t="str"/>
      <x:c r="AI21" s="28" t="str">
        <x:v>https://github.com/Vikram-Indla/Inspection/blob/ada62124c5f8c8066cec397dc70fab31be9b0c7d/product-contract/seeding-discovery/CURRENT_DATA_QUALITY_REPORT.md</x:v>
      </x:c>
      <x:c r="AJ21" s="28" t="str">
        <x:v>High</x:v>
      </x:c>
      <x:c r="AK21" s="28"/>
      <x:c r="AL21" s="28"/>
      <x:c r="AM21" s="28"/>
    </x:row>
    <x:row r="22" ht="30" customHeight="1">
      <x:c r="A22" s="28" t="str">
        <x:v>JRN-REVIEWER-DECIDE-001</x:v>
      </x:c>
      <x:c r="B22" s="28" t="str"/>
      <x:c r="C22" s="28" t="str">
        <x:v>JRN-REVIEWER-DECIDE-001-S01</x:v>
      </x:c>
      <x:c r="D22" s="28" t="n">
        <x:v>18</x:v>
      </x:c>
      <x:c r="E22" s="28" t="str">
        <x:v>Reviewer</x:v>
      </x:c>
      <x:c r="F22" s="28" t="str">
        <x:v>Review queue</x:v>
      </x:c>
      <x:c r="G22" s="28" t="str">
        <x:v>/reviews</x:v>
      </x:c>
      <x:c r="H22" s="28" t="str">
        <x:v>Submitted</x:v>
      </x:c>
      <x:c r="I22" s="28" t="str">
        <x:v>Claim/open review</x:v>
      </x:c>
      <x:c r="J22" s="28" t="str">
        <x:v>Open item</x:v>
      </x:c>
      <x:c r="K22" s="28" t="str">
        <x:v>Link/action</x:v>
      </x:c>
      <x:c r="L22" s="28" t="str">
        <x:v>Submission</x:v>
      </x:c>
      <x:c r="M22" s="28" t="str">
        <x:v>Required</x:v>
      </x:c>
      <x:c r="N22" s="28" t="str">
        <x:v>Reference</x:v>
      </x:c>
      <x:c r="O22" s="28" t="str">
        <x:v>Permission and no self-approval</x:v>
      </x:c>
      <x:c r="P22" s="28" t="str">
        <x:v>Queue state intended</x:v>
      </x:c>
      <x:c r="Q22" s="28" t="str">
        <x:v>reviews/submission_versions</x:v>
      </x:c>
      <x:c r="R22" s="28" t="str">
        <x:v>Review tables</x:v>
      </x:c>
      <x:c r="S22" s="28" t="str">
        <x:v>RLS read/create</x:v>
      </x:c>
      <x:c r="T22" s="28" t="str">
        <x:v>Read/create</x:v>
      </x:c>
      <x:c r="U22" s="28" t="str">
        <x:v>reviews</x:v>
      </x:c>
      <x:c r="V22" s="28" t="str">
        <x:v>reviewer/status</x:v>
      </x:c>
      <x:c r="W22" s="28" t="str">
        <x:v>submitted</x:v>
      </x:c>
      <x:c r="X22" s="28" t="str">
        <x:v>in_review</x:v>
      </x:c>
      <x:c r="Y22" s="28" t="str">
        <x:v>audit_events</x:v>
      </x:c>
      <x:c r="Z22" s="28" t="str">
        <x:v>None</x:v>
      </x:c>
      <x:c r="AA22" s="28" t="str">
        <x:v>Review workspace</x:v>
      </x:c>
      <x:c r="AB22" s="28" t="str">
        <x:v>Runtime authentication blocked</x:v>
      </x:c>
      <x:c r="AC22" s="28" t="str">
        <x:v>S19</x:v>
      </x:c>
      <x:c r="AD22" s="28" t="str"/>
      <x:c r="AE22" s="28" t="str">
        <x:v>Permission denied/stale</x:v>
      </x:c>
      <x:c r="AF22" s="28" t="str">
        <x:v>Reassign/reload</x:v>
      </x:c>
      <x:c r="AG22" s="28" t="str">
        <x:v>BP-001</x:v>
      </x:c>
      <x:c r="AH22" s="28" t="str">
        <x:v>SCR-003</x:v>
      </x:c>
      <x:c r="AI22" s="28" t="str">
        <x:v>https://github.com/Vikram-Indla/Inspection/blob/ada62124c5f8c8066cec397dc70fab31be9b0c7d/apps/web/src/app/(app)/reviews/page.tsx</x:v>
      </x:c>
      <x:c r="AJ22" s="28" t="str">
        <x:v>Medium</x:v>
      </x:c>
      <x:c r="AK22" s="28"/>
      <x:c r="AL22" s="28"/>
      <x:c r="AM22" s="28"/>
    </x:row>
    <x:row r="23" ht="30" customHeight="1">
      <x:c r="A23" s="28" t="str">
        <x:v>JRN-REVIEWER-DECIDE-001</x:v>
      </x:c>
      <x:c r="B23" s="28" t="str">
        <x:v>JRN-REVIEWER-DECIDE-001-V01</x:v>
      </x:c>
      <x:c r="C23" s="28" t="str">
        <x:v>JRN-REVIEWER-DECIDE-001-S02</x:v>
      </x:c>
      <x:c r="D23" s="28" t="n">
        <x:v>19</x:v>
      </x:c>
      <x:c r="E23" s="28" t="str">
        <x:v>Reviewer</x:v>
      </x:c>
      <x:c r="F23" s="28" t="str">
        <x:v>Review workspace</x:v>
      </x:c>
      <x:c r="G23" s="28" t="str">
        <x:v>/reviews/[id]</x:v>
      </x:c>
      <x:c r="H23" s="28" t="str">
        <x:v>In review</x:v>
      </x:c>
      <x:c r="I23" s="28" t="str">
        <x:v>Approve, reject or return scoped sections</x:v>
      </x:c>
      <x:c r="J23" s="28" t="str">
        <x:v>Decision action</x:v>
      </x:c>
      <x:c r="K23" s="28" t="str">
        <x:v>Buttons/form</x:v>
      </x:c>
      <x:c r="L23" s="28" t="str">
        <x:v>Decision reason and returned scope</x:v>
      </x:c>
      <x:c r="M23" s="28" t="str">
        <x:v>Conditional</x:v>
      </x:c>
      <x:c r="N23" s="28" t="str">
        <x:v>Select/text</x:v>
      </x:c>
      <x:c r="O23" s="28" t="str">
        <x:v>Version freshness; scope rules</x:v>
      </x:c>
      <x:c r="P23" s="28" t="str">
        <x:v>Version compare visible</x:v>
      </x:c>
      <x:c r="Q23" s="28" t="str">
        <x:v>reviews/submission_versions</x:v>
      </x:c>
      <x:c r="R23" s="28" t="str">
        <x:v>Review tables</x:v>
      </x:c>
      <x:c r="S23" s="28" t="str">
        <x:v>Decision mutation</x:v>
      </x:c>
      <x:c r="T23" s="28" t="str">
        <x:v>Create/update</x:v>
      </x:c>
      <x:c r="U23" s="28" t="str">
        <x:v>reviews;inspections;audit_events;notifications</x:v>
      </x:c>
      <x:c r="V23" s="28" t="str">
        <x:v>decision/status</x:v>
      </x:c>
      <x:c r="W23" s="28" t="str">
        <x:v>submitted</x:v>
      </x:c>
      <x:c r="X23" s="28" t="str">
        <x:v>approved/rejected/returned</x:v>
      </x:c>
      <x:c r="Y23" s="28" t="str">
        <x:v>audit_events</x:v>
      </x:c>
      <x:c r="Z23" s="28" t="str">
        <x:v>Inspector/compliance notice</x:v>
      </x:c>
      <x:c r="AA23" s="28" t="str">
        <x:v>Governed decision</x:v>
      </x:c>
      <x:c r="AB23" s="28" t="str">
        <x:v>DB has one approved inspection with no review</x:v>
      </x:c>
      <x:c r="AC23" s="28" t="str">
        <x:v>S20</x:v>
      </x:c>
      <x:c r="AD23" s="28" t="str">
        <x:v>Reject/return</x:v>
      </x:c>
      <x:c r="AE23" s="28" t="str">
        <x:v>Stale version/self-approval</x:v>
      </x:c>
      <x:c r="AF23" s="28" t="str">
        <x:v>Reload or reassign</x:v>
      </x:c>
      <x:c r="AG23" s="28" t="str">
        <x:v>BP-014</x:v>
      </x:c>
      <x:c r="AH23" s="28" t="str"/>
      <x:c r="AI23" s="28" t="str">
        <x:v>https://github.com/Vikram-Indla/Inspection/blob/ada62124c5f8c8066cec397dc70fab31be9b0c7d/apps/web/src/app/(app)/reviews/[id]/VersionCompare.tsx</x:v>
      </x:c>
      <x:c r="AJ23" s="28" t="str">
        <x:v>High</x:v>
      </x:c>
      <x:c r="AK23" s="28"/>
      <x:c r="AL23" s="28"/>
      <x:c r="AM23" s="28"/>
    </x:row>
    <x:row r="24" ht="30" customHeight="1">
      <x:c r="A24" s="28" t="str">
        <x:v>JRN-INSPECTOR-REWORK-001</x:v>
      </x:c>
      <x:c r="B24" s="28" t="str"/>
      <x:c r="C24" s="28" t="str">
        <x:v>JRN-INSPECTOR-REWORK-001-S01</x:v>
      </x:c>
      <x:c r="D24" s="28" t="n">
        <x:v>20</x:v>
      </x:c>
      <x:c r="E24" s="28" t="str">
        <x:v>Inspector</x:v>
      </x:c>
      <x:c r="F24" s="28" t="str">
        <x:v>Returned inspection</x:v>
      </x:c>
      <x:c r="G24" s="28" t="str">
        <x:v>/field/inspection/[id]</x:v>
      </x:c>
      <x:c r="H24" s="28" t="str">
        <x:v>Returned</x:v>
      </x:c>
      <x:c r="I24" s="28" t="str">
        <x:v>Correct only returned scope and resubmit</x:v>
      </x:c>
      <x:c r="J24" s="28" t="str">
        <x:v>Edit/resubmit</x:v>
      </x:c>
      <x:c r="K24" s="28" t="str">
        <x:v>Inputs/button</x:v>
      </x:c>
      <x:c r="L24" s="28" t="str">
        <x:v>Returned responses/evidence</x:v>
      </x:c>
      <x:c r="M24" s="28" t="str">
        <x:v>Required</x:v>
      </x:c>
      <x:c r="N24" s="28" t="str">
        <x:v>Mixed</x:v>
      </x:c>
      <x:c r="O24" s="28" t="str">
        <x:v>Stored returned scope</x:v>
      </x:c>
      <x:c r="P24" s="28" t="str">
        <x:v>Scope rail in review implementation</x:v>
      </x:c>
      <x:c r="Q24" s="28" t="str">
        <x:v>reviews/responses</x:v>
      </x:c>
      <x:c r="R24" s="28" t="str">
        <x:v>Review/execution</x:v>
      </x:c>
      <x:c r="S24" s="28" t="str">
        <x:v>New submission mutation</x:v>
      </x:c>
      <x:c r="T24" s="28" t="str">
        <x:v>Create</x:v>
      </x:c>
      <x:c r="U24" s="28" t="str">
        <x:v>submission_versions</x:v>
      </x:c>
      <x:c r="V24" s="28" t="str">
        <x:v>version</x:v>
      </x:c>
      <x:c r="W24" s="28" t="str">
        <x:v>returned</x:v>
      </x:c>
      <x:c r="X24" s="28" t="str">
        <x:v>submitted</x:v>
      </x:c>
      <x:c r="Y24" s="28" t="str">
        <x:v>audit_events</x:v>
      </x:c>
      <x:c r="Z24" s="28" t="str">
        <x:v>Reviewer notice</x:v>
      </x:c>
      <x:c r="AA24" s="28" t="str">
        <x:v>New immutable version</x:v>
      </x:c>
      <x:c r="AB24" s="28" t="str">
        <x:v>Runtime unverified</x:v>
      </x:c>
      <x:c r="AC24" s="28" t="str">
        <x:v>S21</x:v>
      </x:c>
      <x:c r="AD24" s="28" t="str"/>
      <x:c r="AE24" s="28" t="str">
        <x:v>Stale/expanded edits</x:v>
      </x:c>
      <x:c r="AF24" s="28" t="str">
        <x:v>Return to allowed scope</x:v>
      </x:c>
      <x:c r="AG24" s="28" t="str">
        <x:v>BP-014</x:v>
      </x:c>
      <x:c r="AH24" s="28" t="str"/>
      <x:c r="AI24" s="28" t="str">
        <x:v>https://github.com/Vikram-Indla/Inspection/blob/ada62124c5f8c8066cec397dc70fab31be9b0c7d/apps/web/src/app/(app)/reviews/[id]/VersionCompare.tsx</x:v>
      </x:c>
      <x:c r="AJ24" s="28" t="str">
        <x:v>Medium</x:v>
      </x:c>
      <x:c r="AK24" s="28"/>
      <x:c r="AL24" s="28"/>
      <x:c r="AM24" s="28"/>
    </x:row>
    <x:row r="25" ht="30" customHeight="1">
      <x:c r="A25" s="28" t="str">
        <x:v>JRN-COMPLIANCE-CASE-001</x:v>
      </x:c>
      <x:c r="B25" s="28" t="str"/>
      <x:c r="C25" s="28" t="str">
        <x:v>JRN-COMPLIANCE-CASE-001-S01</x:v>
      </x:c>
      <x:c r="D25" s="28" t="n">
        <x:v>21</x:v>
      </x:c>
      <x:c r="E25" s="28" t="str">
        <x:v>Compliance Officer</x:v>
      </x:c>
      <x:c r="F25" s="28" t="str">
        <x:v>Cases</x:v>
      </x:c>
      <x:c r="G25" s="28" t="str">
        <x:v>/cases</x:v>
      </x:c>
      <x:c r="H25" s="28" t="str">
        <x:v>Approved/failed outcome</x:v>
      </x:c>
      <x:c r="I25" s="28" t="str">
        <x:v>Open corrective/reinspection/appeal case</x:v>
      </x:c>
      <x:c r="J25" s="28" t="str">
        <x:v>Select type/open</x:v>
      </x:c>
      <x:c r="K25" s="28" t="str">
        <x:v>Form/button</x:v>
      </x:c>
      <x:c r="L25" s="28" t="str">
        <x:v>Case type</x:v>
      </x:c>
      <x:c r="M25" s="28" t="str">
        <x:v>Required</x:v>
      </x:c>
      <x:c r="N25" s="28" t="str">
        <x:v>Select</x:v>
      </x:c>
      <x:c r="O25" s="28" t="str">
        <x:v>One case per origin comment</x:v>
      </x:c>
      <x:c r="P25" s="28" t="str">
        <x:v>Neutral error</x:v>
      </x:c>
      <x:c r="Q25" s="28" t="str">
        <x:v>inspections/factories/cases</x:v>
      </x:c>
      <x:c r="R25" s="28" t="str">
        <x:v>Cases</x:v>
      </x:c>
      <x:c r="S25" s="28" t="str">
        <x:v>Server action</x:v>
      </x:c>
      <x:c r="T25" s="28" t="str">
        <x:v>Create</x:v>
      </x:c>
      <x:c r="U25" s="28" t="str">
        <x:v>cases</x:v>
      </x:c>
      <x:c r="V25" s="28" t="str">
        <x:v>origin,status,type</x:v>
      </x:c>
      <x:c r="W25" s="28" t="str">
        <x:v>none</x:v>
      </x:c>
      <x:c r="X25" s="28" t="str">
        <x:v>open</x:v>
      </x:c>
      <x:c r="Y25" s="28" t="str">
        <x:v>audit</x:v>
      </x:c>
      <x:c r="Z25" s="28" t="str">
        <x:v>Owner notice not proven</x:v>
      </x:c>
      <x:c r="AA25" s="28" t="str">
        <x:v>Open case</x:v>
      </x:c>
      <x:c r="AB25" s="28" t="str">
        <x:v>Owner assignment and portal incomplete</x:v>
      </x:c>
      <x:c r="AC25" s="28" t="str">
        <x:v>S22</x:v>
      </x:c>
      <x:c r="AD25" s="28" t="str">
        <x:v>JRN-CA-RESPOND-001</x:v>
      </x:c>
      <x:c r="AE25" s="28" t="str">
        <x:v>Duplicate/permission denied</x:v>
      </x:c>
      <x:c r="AF25" s="28" t="str">
        <x:v>Locate existing case</x:v>
      </x:c>
      <x:c r="AG25" s="28" t="str">
        <x:v>BP-015;BP-016</x:v>
      </x:c>
      <x:c r="AH25" s="28" t="str"/>
      <x:c r="AI25" s="28" t="str">
        <x:v>https://github.com/Vikram-Indla/Inspection/blob/ada62124c5f8c8066cec397dc70fab31be9b0c7d/apps/web/src/app/(app)/cases/actions.ts</x:v>
      </x:c>
      <x:c r="AJ25" s="28" t="str">
        <x:v>High</x:v>
      </x:c>
      <x:c r="AK25" s="28"/>
      <x:c r="AL25" s="28"/>
      <x:c r="AM25" s="28"/>
    </x:row>
    <x:row r="26" ht="30" customHeight="1">
      <x:c r="A26" s="28" t="str">
        <x:v>JRN-EXEC-DASH-001</x:v>
      </x:c>
      <x:c r="B26" s="28" t="str"/>
      <x:c r="C26" s="28" t="str">
        <x:v>JRN-EXEC-DASH-001-S01</x:v>
      </x:c>
      <x:c r="D26" s="28" t="n">
        <x:v>22</x:v>
      </x:c>
      <x:c r="E26" s="28" t="str">
        <x:v>Management</x:v>
      </x:c>
      <x:c r="F26" s="28" t="str">
        <x:v>Dashboard</x:v>
      </x:c>
      <x:c r="G26" s="28" t="str">
        <x:v>/dashboard</x:v>
      </x:c>
      <x:c r="H26" s="28" t="str">
        <x:v>Approved outcomes</x:v>
      </x:c>
      <x:c r="I26" s="28" t="str">
        <x:v>Review result and operational impact</x:v>
      </x:c>
      <x:c r="J26" s="28" t="str">
        <x:v>Open dashboard/drill</x:v>
      </x:c>
      <x:c r="K26" s="28" t="str">
        <x:v>Tabs/links</x:v>
      </x:c>
      <x:c r="L26" s="28" t="str">
        <x:v>None</x:v>
      </x:c>
      <x:c r="M26" s="28" t="str">
        <x:v>N/A</x:v>
      </x:c>
      <x:c r="N26" s="28" t="str">
        <x:v>Read-only</x:v>
      </x:c>
      <x:c r="O26" s="28" t="str">
        <x:v>Published KPI config required</x:v>
      </x:c>
      <x:c r="P26" s="28" t="str">
        <x:v>Unavailable states implemented</x:v>
      </x:c>
      <x:c r="Q26" s="28" t="str">
        <x:v>facts + dashboard config</x:v>
      </x:c>
      <x:c r="R26" s="28" t="str">
        <x:v>Operations/reporting</x:v>
      </x:c>
      <x:c r="S26" s="28" t="str">
        <x:v>Queries</x:v>
      </x:c>
      <x:c r="T26" s="28" t="str">
        <x:v>Read</x:v>
      </x:c>
      <x:c r="U26" s="28" t="str">
        <x:v>dashboard_config_*; facts</x:v>
      </x:c>
      <x:c r="V26" s="28" t="str">
        <x:v>multiple</x:v>
      </x:c>
      <x:c r="W26" s="28" t="str">
        <x:v>approved</x:v>
      </x:c>
      <x:c r="X26" s="28" t="str">
        <x:v>reported</x:v>
      </x:c>
      <x:c r="Y26" s="28" t="str">
        <x:v>None</x:v>
      </x:c>
      <x:c r="Z26" s="28" t="str">
        <x:v>None</x:v>
      </x:c>
      <x:c r="AA26" s="28" t="str">
        <x:v>Decision insight</x:v>
      </x:c>
      <x:c r="AB26" s="28" t="str">
        <x:v>Dashboard config heads/parameters/versions all empty</x:v>
      </x:c>
      <x:c r="AC26" s="28" t="str">
        <x:v>Terminal</x:v>
      </x:c>
      <x:c r="AD26" s="28" t="str"/>
      <x:c r="AE26" s="28" t="str">
        <x:v>Unavailable KPI</x:v>
      </x:c>
      <x:c r="AF26" s="28" t="str">
        <x:v>Publish configuration</x:v>
      </x:c>
      <x:c r="AG26" s="28" t="str">
        <x:v>BP-019</x:v>
      </x:c>
      <x:c r="AH26" s="28" t="str"/>
      <x:c r="AI26" s="28" t="str">
        <x:v>https://github.com/Vikram-Indla/Inspection/blob/ada62124c5f8c8066cec397dc70fab31be9b0c7d/product-contract/seeding-discovery/CURRENT_DATA_QUALITY_REPORT.md</x:v>
      </x:c>
      <x:c r="AJ26" s="28" t="str">
        <x:v>High</x:v>
      </x:c>
      <x:c r="AK26" s="28"/>
      <x:c r="AL26" s="28"/>
      <x:c r="AM26" s="28"/>
    </x:row>
    <x:row r="27" ht="30" customHeight="1">
      <x:c r="A27" s="28" t="str">
        <x:v>JRN-SYSTEM-NOTIFY-001</x:v>
      </x:c>
      <x:c r="B27" s="28" t="str"/>
      <x:c r="C27" s="28" t="str">
        <x:v>JRN-SYSTEM-NOTIFY-001-S01</x:v>
      </x:c>
      <x:c r="D27" s="28" t="n">
        <x:v>23</x:v>
      </x:c>
      <x:c r="E27" s="28" t="str">
        <x:v>System</x:v>
      </x:c>
      <x:c r="F27" s="28" t="str">
        <x:v>Background notification</x:v>
      </x:c>
      <x:c r="G27" s="28" t="str">
        <x:v>N/A</x:v>
      </x:c>
      <x:c r="H27" s="28" t="str">
        <x:v>Lifecycle event committed</x:v>
      </x:c>
      <x:c r="I27" s="28" t="str">
        <x:v>Queue and deliver notices</x:v>
      </x:c>
      <x:c r="J27" s="28" t="str">
        <x:v>Event processing</x:v>
      </x:c>
      <x:c r="K27" s="28" t="str">
        <x:v>Background</x:v>
      </x:c>
      <x:c r="L27" s="28" t="str">
        <x:v>Recipient/channel/payload</x:v>
      </x:c>
      <x:c r="M27" s="28" t="str">
        <x:v>Required</x:v>
      </x:c>
      <x:c r="N27" s="28" t="str">
        <x:v>Record</x:v>
      </x:c>
      <x:c r="O27" s="28" t="str">
        <x:v>Preferences/provider</x:v>
      </x:c>
      <x:c r="P27" s="28" t="str">
        <x:v>Retry/suppression</x:v>
      </x:c>
      <x:c r="Q27" s="28" t="str">
        <x:v>notification preferences</x:v>
      </x:c>
      <x:c r="R27" s="28" t="str">
        <x:v>notifications</x:v>
      </x:c>
      <x:c r="S27" s="28" t="str">
        <x:v>Worker/provider</x:v>
      </x:c>
      <x:c r="T27" s="28" t="str">
        <x:v>Create/update</x:v>
      </x:c>
      <x:c r="U27" s="28" t="str">
        <x:v>notifications</x:v>
      </x:c>
      <x:c r="V27" s="28" t="str">
        <x:v>status/attempts</x:v>
      </x:c>
      <x:c r="W27" s="28" t="str">
        <x:v>none</x:v>
      </x:c>
      <x:c r="X27" s="28" t="str">
        <x:v>queued/delivered/failed</x:v>
      </x:c>
      <x:c r="Y27" s="28" t="str">
        <x:v>audit/provider receipts</x:v>
      </x:c>
      <x:c r="Z27" s="28" t="str">
        <x:v>Recipient channel</x:v>
      </x:c>
      <x:c r="AA27" s="28" t="str">
        <x:v>Delivery receipt</x:v>
      </x:c>
      <x:c r="AB27" s="28" t="str">
        <x:v>7/8 profiles lack preference rows; delivery not verified</x:v>
      </x:c>
      <x:c r="AC27" s="28" t="str">
        <x:v>Terminal</x:v>
      </x:c>
      <x:c r="AD27" s="28" t="str"/>
      <x:c r="AE27" s="28" t="str">
        <x:v>Provider failure</x:v>
      </x:c>
      <x:c r="AF27" s="28" t="str">
        <x:v>Retry/dead-letter</x:v>
      </x:c>
      <x:c r="AG27" s="28" t="str">
        <x:v>BP-021</x:v>
      </x:c>
      <x:c r="AH27" s="28" t="str"/>
      <x:c r="AI27" s="28" t="str">
        <x:v>https://github.com/Vikram-Indla/Inspection/blob/ada62124c5f8c8066cec397dc70fab31be9b0c7d/product-contract/seeding-discovery/CURRENT_DATA_QUALITY_REPORT.md</x:v>
      </x:c>
      <x:c r="AJ27" s="28" t="str">
        <x:v>High</x:v>
      </x:c>
      <x:c r="AK27" s="28"/>
      <x:c r="AL27" s="28"/>
      <x:c r="AM27" s="28"/>
    </x:row>
    <x:row r="28" ht="30" customHeight="1">
      <x:c r="A28" s="28" t="str">
        <x:v>JRN-SYSTEM-INTEGRATE-001</x:v>
      </x:c>
      <x:c r="B28" s="28" t="str"/>
      <x:c r="C28" s="28" t="str">
        <x:v>JRN-SYSTEM-INTEGRATE-001-S01</x:v>
      </x:c>
      <x:c r="D28" s="28" t="n">
        <x:v>24</x:v>
      </x:c>
      <x:c r="E28" s="28" t="str">
        <x:v>System</x:v>
      </x:c>
      <x:c r="F28" s="28" t="str">
        <x:v>Senaei integration</x:v>
      </x:c>
      <x:c r="G28" s="28" t="str">
        <x:v>N/A</x:v>
      </x:c>
      <x:c r="H28" s="28" t="str">
        <x:v>Submitted inspection</x:v>
      </x:c>
      <x:c r="I28" s="28" t="str">
        <x:v>Prepare and forward provider payload</x:v>
      </x:c>
      <x:c r="J28" s="28" t="str">
        <x:v>Adapter invocation</x:v>
      </x:c>
      <x:c r="K28" s="28" t="str">
        <x:v>Background</x:v>
      </x:c>
      <x:c r="L28" s="28" t="str">
        <x:v>Task/governance ref/multipart payload</x:v>
      </x:c>
      <x:c r="M28" s="28" t="str">
        <x:v>Required</x:v>
      </x:c>
      <x:c r="N28" s="28" t="str">
        <x:v>Integration payload</x:v>
      </x:c>
      <x:c r="O28" s="28" t="str">
        <x:v>Governed trigger</x:v>
      </x:c>
      <x:c r="P28" s="28" t="str">
        <x:v>Explicit blocked message</x:v>
      </x:c>
      <x:c r="Q28" s="28" t="str">
        <x:v>inspection data</x:v>
      </x:c>
      <x:c r="R28" s="28" t="str">
        <x:v>Senaei adapter</x:v>
      </x:c>
      <x:c r="S28" s="28" t="str">
        <x:v>Provider API</x:v>
      </x:c>
      <x:c r="T28" s="28" t="str">
        <x:v>Create/update</x:v>
      </x:c>
      <x:c r="U28" s="28" t="str">
        <x:v>integration attempt/receipt</x:v>
      </x:c>
      <x:c r="V28" s="28" t="str">
        <x:v>status</x:v>
      </x:c>
      <x:c r="W28" s="28" t="str">
        <x:v>submitted</x:v>
      </x:c>
      <x:c r="X28" s="28" t="str">
        <x:v>blocked/delivered</x:v>
      </x:c>
      <x:c r="Y28" s="28" t="str">
        <x:v>audit/provider result</x:v>
      </x:c>
      <x:c r="Z28" s="28" t="str">
        <x:v>None</x:v>
      </x:c>
      <x:c r="AA28" s="28" t="str">
        <x:v>Provider receipt</x:v>
      </x:c>
      <x:c r="AB28" s="28" t="str">
        <x:v>Adapter returns BLOCKED_TRIGGER_DECISION</x:v>
      </x:c>
      <x:c r="AC28" s="28" t="str">
        <x:v>Terminal</x:v>
      </x:c>
      <x:c r="AD28" s="28" t="str"/>
      <x:c r="AE28" s="28" t="str">
        <x:v>Provider/trigger failure</x:v>
      </x:c>
      <x:c r="AF28" s="28" t="str">
        <x:v>Governance decision then retry</x:v>
      </x:c>
      <x:c r="AG28" s="28" t="str">
        <x:v>BP-022</x:v>
      </x:c>
      <x:c r="AH28" s="28" t="str"/>
      <x:c r="AI28" s="28" t="str">
        <x:v>https://github.com/Vikram-Indla/Inspection/blob/ada62124c5f8c8066cec397dc70fab31be9b0c7d/apps/web/src/lib/integrations/senaei/adapters/inspection-submission.ts</x:v>
      </x:c>
      <x:c r="AJ28" s="28" t="str">
        <x:v>High</x:v>
      </x:c>
      <x:c r="AK28" s="28"/>
      <x:c r="AL28" s="28"/>
      <x:c r="AM28" s="28"/>
    </x:row>
  </x:sheetData>
  <x:mergeCells>
    <x:mergeCell ref="A1:AM1"/>
  </x:mergeCells>
  <x:pageMargins left="0.7" right="0.7" top="0.75" bottom="0.75" header="0.3" footer="0.3"/>
  <x:tableParts count="1">
    <x:tablePart xmlns:r="http://schemas.openxmlformats.org/officeDocument/2006/relationships" r:id="Reff5069e12bd48b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s>
  <x:sheetData>
    <x:row r="1">
      <x:c r="A1" s="29" t="str">
        <x:v>SINGLE INSPECTION VISIT — CROSS-ACTOR GOLDEN THREAD (PARTIAL CERTIFICATE)</x:v>
      </x:c>
      <x:c r="B1" s="29"/>
      <x:c r="C1" s="29"/>
      <x:c r="D1" s="29"/>
      <x:c r="E1" s="29"/>
      <x:c r="F1" s="29"/>
      <x:c r="G1" s="29"/>
      <x:c r="H1" s="29"/>
      <x:c r="I1" s="29"/>
      <x:c r="J1" s="29"/>
      <x:c r="K1" s="29"/>
      <x:c r="L1" s="29"/>
      <x:c r="M1" s="29"/>
      <x:c r="N1" s="29"/>
    </x:row>
    <x:row r="2">
      <x:c r="A2" s="25"/>
      <x:c r="B2" s="25"/>
      <x:c r="C2" s="25"/>
      <x:c r="D2" s="25"/>
      <x:c r="E2" s="25"/>
      <x:c r="F2" s="25"/>
      <x:c r="G2" s="25"/>
      <x:c r="H2" s="25"/>
      <x:c r="I2" s="25"/>
      <x:c r="J2" s="25"/>
      <x:c r="K2" s="25"/>
      <x:c r="L2" s="25"/>
      <x:c r="M2" s="25"/>
      <x:c r="N2" s="25"/>
    </x:row>
    <x:row r="3" ht="55" customHeight="1">
      <x:c r="A3" s="30" t="str">
        <x:v>Administrator</x:v>
      </x:c>
      <x:c r="B3" s="31" t="str">
        <x:v>Identity &amp; roles</x:v>
      </x:c>
      <x:c r="C3" s="31" t="str">
        <x:v>Compliance content</x:v>
      </x:c>
      <x:c r="D3" s="31" t="str">
        <x:v>Execution config</x:v>
      </x:c>
      <x:c r="E3" s="32" t="str"/>
      <x:c r="F3" s="32" t="str"/>
      <x:c r="G3" s="32" t="str"/>
      <x:c r="H3" s="32" t="str"/>
      <x:c r="I3" s="32" t="str"/>
      <x:c r="J3" s="32" t="str"/>
      <x:c r="K3" s="32" t="str"/>
      <x:c r="L3" s="32" t="str"/>
      <x:c r="M3" s="32" t="str"/>
      <x:c r="N3" s="32" t="str"/>
    </x:row>
    <x:row r="4" ht="55" customHeight="1">
      <x:c r="A4" s="30" t="str">
        <x:v>Planner</x:v>
      </x:c>
      <x:c r="B4" s="32" t="str"/>
      <x:c r="C4" s="32" t="str"/>
      <x:c r="D4" s="32" t="str"/>
      <x:c r="E4" s="33" t="str">
        <x:v>Select target</x:v>
      </x:c>
      <x:c r="F4" s="33" t="str">
        <x:v>Configure visit</x:v>
      </x:c>
      <x:c r="G4" s="31" t="str">
        <x:v>Assign inspector</x:v>
      </x:c>
      <x:c r="H4" s="32" t="str">
        <x:v>Publish atomically</x:v>
      </x:c>
      <x:c r="I4" s="32" t="str"/>
      <x:c r="J4" s="32" t="str"/>
      <x:c r="K4" s="32" t="str"/>
      <x:c r="L4" s="32" t="str"/>
      <x:c r="M4" s="32" t="str"/>
      <x:c r="N4" s="32" t="str"/>
    </x:row>
    <x:row r="5" ht="55" customHeight="1">
      <x:c r="A5" s="30" t="str">
        <x:v>Inspector</x:v>
      </x:c>
      <x:c r="B5" s="32" t="str"/>
      <x:c r="C5" s="32" t="str"/>
      <x:c r="D5" s="32" t="str"/>
      <x:c r="E5" s="32" t="str"/>
      <x:c r="F5" s="32" t="str"/>
      <x:c r="G5" s="32" t="str"/>
      <x:c r="H5" s="31" t="str">
        <x:v>Authenticate</x:v>
      </x:c>
      <x:c r="I5" s="33" t="str">
        <x:v>Prepare</x:v>
      </x:c>
      <x:c r="J5" s="33" t="str">
        <x:v>Travel/arrive</x:v>
      </x:c>
      <x:c r="K5" s="33" t="str">
        <x:v>Execute/save</x:v>
      </x:c>
      <x:c r="L5" s="33" t="str">
        <x:v>Submit</x:v>
      </x:c>
      <x:c r="M5" s="33" t="str">
        <x:v>Correct/resubmit</x:v>
      </x:c>
      <x:c r="N5" s="32" t="str"/>
    </x:row>
    <x:row r="6" ht="55" customHeight="1">
      <x:c r="A6" s="30" t="str">
        <x:v>Reviewer</x:v>
      </x:c>
      <x:c r="B6" s="32" t="str"/>
      <x:c r="C6" s="32" t="str"/>
      <x:c r="D6" s="32" t="str"/>
      <x:c r="E6" s="32" t="str"/>
      <x:c r="F6" s="32" t="str"/>
      <x:c r="G6" s="32" t="str"/>
      <x:c r="H6" s="32" t="str"/>
      <x:c r="I6" s="32" t="str"/>
      <x:c r="J6" s="32" t="str"/>
      <x:c r="K6" s="32" t="str"/>
      <x:c r="L6" s="31" t="str">
        <x:v>Review</x:v>
      </x:c>
      <x:c r="M6" s="33" t="str">
        <x:v>Approve/return</x:v>
      </x:c>
      <x:c r="N6" s="32" t="str"/>
    </x:row>
    <x:row r="7" ht="55" customHeight="1">
      <x:c r="A7" s="30" t="str">
        <x:v>Corrective owner</x:v>
      </x:c>
      <x:c r="B7" s="32" t="str"/>
      <x:c r="C7" s="32" t="str"/>
      <x:c r="D7" s="32" t="str"/>
      <x:c r="E7" s="32" t="str"/>
      <x:c r="F7" s="32" t="str"/>
      <x:c r="G7" s="32" t="str"/>
      <x:c r="H7" s="32" t="str"/>
      <x:c r="I7" s="32" t="str"/>
      <x:c r="J7" s="32" t="str"/>
      <x:c r="K7" s="32" t="str"/>
      <x:c r="L7" s="32" t="str"/>
      <x:c r="M7" s="31" t="str">
        <x:v>Respond evidence</x:v>
      </x:c>
      <x:c r="N7" s="33" t="str">
        <x:v>Close</x:v>
      </x:c>
    </x:row>
    <x:row r="8" ht="55" customHeight="1">
      <x:c r="A8" s="30" t="str">
        <x:v>Management/System</x:v>
      </x:c>
      <x:c r="B8" s="32" t="str"/>
      <x:c r="C8" s="32" t="str"/>
      <x:c r="D8" s="32" t="str"/>
      <x:c r="E8" s="32" t="str"/>
      <x:c r="F8" s="32" t="str"/>
      <x:c r="G8" s="32" t="str"/>
      <x:c r="H8" s="32" t="str">
        <x:v>Queue notice</x:v>
      </x:c>
      <x:c r="I8" s="32" t="str"/>
      <x:c r="J8" s="32" t="str">
        <x:v>Operations updates</x:v>
      </x:c>
      <x:c r="K8" s="32" t="str"/>
      <x:c r="L8" s="32" t="str">
        <x:v>Queue review</x:v>
      </x:c>
      <x:c r="M8" s="32" t="str">
        <x:v>Dashboard/external sync</x:v>
      </x:c>
      <x:c r="N8" s="32" t="str">
        <x:v>Terminal records</x:v>
      </x:c>
    </x:row>
    <x:row r="9">
      <x:c r="A9" s="25"/>
      <x:c r="B9" s="25"/>
      <x:c r="C9" s="25"/>
      <x:c r="D9" s="25"/>
      <x:c r="E9" s="25"/>
      <x:c r="F9" s="25"/>
      <x:c r="G9" s="25"/>
      <x:c r="H9" s="25"/>
      <x:c r="I9" s="25"/>
      <x:c r="J9" s="25"/>
      <x:c r="K9" s="25"/>
      <x:c r="L9" s="25"/>
      <x:c r="M9" s="25"/>
      <x:c r="N9" s="25"/>
    </x:row>
    <x:row r="10">
      <x:c r="A10" s="34" t="str">
        <x:v>Legend: red = confirmed blocker · amber = partially implemented/unverified · grey = designed/static only · no stage is runtime-verified end-to-end</x:v>
      </x:c>
      <x:c r="B10" s="34"/>
      <x:c r="C10" s="34"/>
      <x:c r="D10" s="34"/>
      <x:c r="E10" s="34"/>
      <x:c r="F10" s="34"/>
      <x:c r="G10" s="34"/>
      <x:c r="H10" s="34"/>
      <x:c r="I10" s="34"/>
      <x:c r="J10" s="34"/>
      <x:c r="K10" s="34"/>
      <x:c r="L10" s="34"/>
      <x:c r="M10" s="34"/>
      <x:c r="N10" s="34"/>
    </x:row>
  </x:sheetData>
  <x:mergeCells>
    <x:mergeCell ref="A1:N1"/>
    <x:mergeCell ref="A10:N10"/>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2" hidden="0" customWidth="1"/>
    <x:col min="2" max="2" width="14" hidden="0" customWidth="1"/>
    <x:col min="3" max="3" width="12" hidden="0" customWidth="1"/>
    <x:col min="4" max="4" width="21" hidden="0" customWidth="1"/>
    <x:col min="5" max="5" width="12" hidden="0" customWidth="1"/>
    <x:col min="6" max="6" width="18" hidden="0" customWidth="1"/>
    <x:col min="7" max="7" width="15" hidden="0" customWidth="1"/>
    <x:col min="8" max="8" width="17" hidden="0" customWidth="1"/>
    <x:col min="9" max="9" width="16" hidden="0" customWidth="1"/>
    <x:col min="10" max="10" width="14" hidden="0" customWidth="1"/>
    <x:col min="11" max="11" width="16" hidden="0" customWidth="1"/>
    <x:col min="12" max="12" width="14" hidden="0" customWidth="1"/>
    <x:col min="13" max="13" width="26" hidden="0" customWidth="1"/>
    <x:col min="14" max="14" width="19" hidden="0" customWidth="1"/>
    <x:col min="15" max="15" width="19" hidden="0" customWidth="1"/>
    <x:col min="16" max="16" width="16" hidden="0" customWidth="1"/>
    <x:col min="17" max="17" width="19" hidden="0" customWidth="1"/>
    <x:col min="18" max="18" width="24" hidden="0" customWidth="1"/>
    <x:col min="19" max="19" width="17" hidden="0" customWidth="1"/>
    <x:col min="20" max="20" width="17" hidden="0" customWidth="1"/>
  </x:cols>
  <x:sheetData>
    <x:row r="1" ht="30" customHeight="1">
      <x:c r="A1" s="24" t="str">
        <x:v>06 SCREEN ATLAS</x:v>
      </x:c>
      <x:c r="B1" s="25"/>
      <x:c r="C1" s="25"/>
      <x:c r="D1" s="25"/>
      <x:c r="E1" s="25"/>
      <x:c r="F1" s="25"/>
      <x:c r="G1" s="25"/>
      <x:c r="H1" s="25"/>
      <x:c r="I1" s="25"/>
      <x:c r="J1" s="25"/>
      <x:c r="K1" s="25"/>
      <x:c r="L1" s="25"/>
      <x:c r="M1" s="25"/>
      <x:c r="N1" s="25"/>
      <x:c r="O1" s="25"/>
      <x:c r="P1" s="25"/>
      <x:c r="Q1" s="25"/>
      <x:c r="R1" s="25"/>
      <x:c r="S1" s="25"/>
      <x:c r="T1" s="25"/>
    </x:row>
    <x:row r="2" ht="30" customHeight="1">
      <x:c r="A2" s="26" t="str">
        <x:v>Audit snapshot · 2026-07-30 (Asia/Riyadh) · commit ada62124</x:v>
      </x:c>
      <x:c r="B2" s="26" t="str"/>
      <x:c r="C2" s="26" t="str"/>
      <x:c r="D2" s="26" t="str"/>
      <x:c r="E2" s="26" t="str"/>
      <x:c r="F2" s="26" t="str"/>
      <x:c r="G2" s="26" t="str"/>
      <x:c r="H2" s="26" t="str"/>
      <x:c r="I2" s="26" t="str"/>
      <x:c r="J2" s="26" t="str"/>
      <x:c r="K2" s="26" t="str"/>
      <x:c r="L2" s="26" t="str"/>
      <x:c r="M2" s="26" t="str"/>
      <x:c r="N2" s="26" t="str"/>
      <x:c r="O2" s="26" t="str"/>
      <x:c r="P2" s="26" t="str"/>
      <x:c r="Q2" s="26" t="str"/>
      <x:c r="R2" s="26" t="str"/>
      <x:c r="S2" s="26" t="str"/>
      <x:c r="T2" s="26" t="str"/>
    </x:row>
    <x:row r="3" ht="30" customHeight="1">
      <x:c r="A3" s="25"/>
      <x:c r="B3" s="25"/>
      <x:c r="C3" s="25"/>
      <x:c r="D3" s="25"/>
      <x:c r="E3" s="25"/>
      <x:c r="F3" s="25"/>
      <x:c r="G3" s="25"/>
      <x:c r="H3" s="25"/>
      <x:c r="I3" s="25"/>
      <x:c r="J3" s="25"/>
      <x:c r="K3" s="25"/>
      <x:c r="L3" s="25"/>
      <x:c r="M3" s="25"/>
      <x:c r="N3" s="25"/>
      <x:c r="O3" s="25"/>
      <x:c r="P3" s="25"/>
      <x:c r="Q3" s="25"/>
      <x:c r="R3" s="25"/>
      <x:c r="S3" s="25"/>
      <x:c r="T3" s="25"/>
    </x:row>
    <x:row r="4" ht="30" customHeight="1">
      <x:c r="A4" s="27" t="str">
        <x:v>Screen ID</x:v>
      </x:c>
      <x:c r="B4" s="27" t="str">
        <x:v>Screen name</x:v>
      </x:c>
      <x:c r="C4" s="27" t="str">
        <x:v>Route</x:v>
      </x:c>
      <x:c r="D4" s="27" t="str">
        <x:v>Persona visibility</x:v>
      </x:c>
      <x:c r="E4" s="27" t="str">
        <x:v>Purpose</x:v>
      </x:c>
      <x:c r="F4" s="27" t="str">
        <x:v>Entry condition</x:v>
      </x:c>
      <x:c r="G4" s="27" t="str">
        <x:v>Exit actions</x:v>
      </x:c>
      <x:c r="H4" s="27" t="str">
        <x:v>Data displayed</x:v>
      </x:c>
      <x:c r="I4" s="27" t="str">
        <x:v>Data captured</x:v>
      </x:c>
      <x:c r="J4" s="27" t="str">
        <x:v>Empty state</x:v>
      </x:c>
      <x:c r="K4" s="27" t="str">
        <x:v>Loading state</x:v>
      </x:c>
      <x:c r="L4" s="27" t="str">
        <x:v>Error state</x:v>
      </x:c>
      <x:c r="M4" s="27" t="str">
        <x:v>Permission-denied state</x:v>
      </x:c>
      <x:c r="N4" s="27" t="str">
        <x:v>Arabic/RTL state</x:v>
      </x:c>
      <x:c r="O4" s="27" t="str">
        <x:v>Responsive state</x:v>
      </x:c>
      <x:c r="P4" s="27" t="str">
        <x:v>Screenshot ID</x:v>
      </x:c>
      <x:c r="Q4" s="27" t="str">
        <x:v>Source component</x:v>
      </x:c>
      <x:c r="R4" s="27" t="str">
        <x:v>Journeys using screen</x:v>
      </x:c>
      <x:c r="S4" s="27" t="str">
        <x:v>Repo deep link</x:v>
      </x:c>
      <x:c r="T4" s="27" t="str">
        <x:v>Runtime status</x:v>
      </x:c>
    </x:row>
    <x:row r="5" ht="30" customHeight="1">
      <x:c r="A5" s="28" t="str">
        <x:v>SCR-LOGIN</x:v>
      </x:c>
      <x:c r="B5" s="28" t="str">
        <x:v>Login</x:v>
      </x:c>
      <x:c r="C5" s="28" t="str">
        <x:v>/login</x:v>
      </x:c>
      <x:c r="D5" s="28" t="str">
        <x:v>All unauthenticated</x:v>
      </x:c>
      <x:c r="E5" s="28" t="str">
        <x:v>Authenticate</x:v>
      </x:c>
      <x:c r="F5" s="28" t="str">
        <x:v>Signed out</x:v>
      </x:c>
      <x:c r="G5" s="28" t="str">
        <x:v>Sign in; reset; locale</x:v>
      </x:c>
      <x:c r="H5" s="28" t="str">
        <x:v>Identity/password</x:v>
      </x:c>
      <x:c r="I5" s="28" t="str">
        <x:v>Identity/password</x:v>
      </x:c>
      <x:c r="J5" s="28" t="str">
        <x:v>N/A</x:v>
      </x:c>
      <x:c r="K5" s="28" t="str">
        <x:v>Visible</x:v>
      </x:c>
      <x:c r="L5" s="28" t="str">
        <x:v>Inline alert</x:v>
      </x:c>
      <x:c r="M5" s="28" t="str">
        <x:v>N/A</x:v>
      </x:c>
      <x:c r="N5" s="28" t="str">
        <x:v>AR link</x:v>
      </x:c>
      <x:c r="O5" s="28" t="str">
        <x:v>Desktop verified</x:v>
      </x:c>
      <x:c r="P5" s="28" t="str">
        <x:v>SCR-001;SCR-002</x:v>
      </x:c>
      <x:c r="Q5" s="28" t="str">
        <x:v>Login page</x:v>
      </x:c>
      <x:c r="R5" s="28" t="str">
        <x:v>JRN-ADMIN-IAM-001; all human journeys</x:v>
      </x:c>
      <x:c r="S5" s="28" t="str">
        <x:v>https://github.com/Vikram-Indla/Inspection/blob/ada62124c5f8c8066cec397dc70fab31be9b0c7d/apps/web/src/app/login/page.tsx</x:v>
      </x:c>
      <x:c r="T5" s="28" t="str">
        <x:v>IMPLEMENTED BUT BROKEN</x:v>
      </x:c>
    </x:row>
    <x:row r="6" ht="30" customHeight="1">
      <x:c r="A6" s="28" t="str">
        <x:v>SCR-PLANNING</x:v>
      </x:c>
      <x:c r="B6" s="28" t="str">
        <x:v>Planning home</x:v>
      </x:c>
      <x:c r="C6" s="28" t="str">
        <x:v>/planning</x:v>
      </x:c>
      <x:c r="D6" s="28" t="str">
        <x:v>Planner</x:v>
      </x:c>
      <x:c r="E6" s="28" t="str">
        <x:v>Create/list visits</x:v>
      </x:c>
      <x:c r="F6" s="28" t="str">
        <x:v>Authorized planner</x:v>
      </x:c>
      <x:c r="G6" s="28" t="str">
        <x:v>Single; bulk; immediate; manage</x:v>
      </x:c>
      <x:c r="H6" s="28" t="str">
        <x:v>Plans/visits</x:v>
      </x:c>
      <x:c r="I6" s="28" t="str">
        <x:v>Filters</x:v>
      </x:c>
      <x:c r="J6" s="28" t="str">
        <x:v>Empty state exists</x:v>
      </x:c>
      <x:c r="K6" s="28" t="str">
        <x:v>Loading route</x:v>
      </x:c>
      <x:c r="L6" s="28" t="str">
        <x:v>Neutral errors</x:v>
      </x:c>
      <x:c r="M6" s="28" t="str">
        <x:v>Guarded</x:v>
      </x:c>
      <x:c r="N6" s="28" t="str">
        <x:v>i18n present</x:v>
      </x:c>
      <x:c r="O6" s="28" t="str">
        <x:v>Build verified</x:v>
      </x:c>
      <x:c r="P6" s="28" t="str">
        <x:v>SCR-003</x:v>
      </x:c>
      <x:c r="Q6" s="28" t="str">
        <x:v>planning/page.tsx</x:v>
      </x:c>
      <x:c r="R6" s="28" t="str">
        <x:v>JRN-PLANNER-*</x:v>
      </x:c>
      <x:c r="S6" s="28" t="str">
        <x:v>https://github.com/Vikram-Indla/Inspection/blob/ada62124c5f8c8066cec397dc70fab31be9b0c7d/apps/web/src/app/(app)/planning/page.tsx</x:v>
      </x:c>
      <x:c r="T6" s="28" t="str">
        <x:v>BLOCKED FROM VERIFICATION</x:v>
      </x:c>
    </x:row>
    <x:row r="7" ht="30" customHeight="1">
      <x:c r="A7" s="28" t="str">
        <x:v>SCR-SINGLE</x:v>
      </x:c>
      <x:c r="B7" s="28" t="str">
        <x:v>Single visit planner</x:v>
      </x:c>
      <x:c r="C7" s="28" t="str">
        <x:v>/planning/single</x:v>
      </x:c>
      <x:c r="D7" s="28" t="str">
        <x:v>Planner</x:v>
      </x:c>
      <x:c r="E7" s="28" t="str">
        <x:v>Create one visit</x:v>
      </x:c>
      <x:c r="F7" s="28" t="str">
        <x:v>Planning create.single</x:v>
      </x:c>
      <x:c r="G7" s="28" t="str">
        <x:v>Target; details; assign; publish</x:v>
      </x:c>
      <x:c r="H7" s="28" t="str">
        <x:v>Master/config data</x:v>
      </x:c>
      <x:c r="I7" s="28" t="str">
        <x:v>Visit plan</x:v>
      </x:c>
      <x:c r="J7" s="28" t="str">
        <x:v>Cannot confirm</x:v>
      </x:c>
      <x:c r="K7" s="28" t="str">
        <x:v>Loading</x:v>
      </x:c>
      <x:c r="L7" s="28" t="str">
        <x:v>Validation</x:v>
      </x:c>
      <x:c r="M7" s="28" t="str">
        <x:v>Guarded</x:v>
      </x:c>
      <x:c r="N7" s="28" t="str">
        <x:v>i18n present</x:v>
      </x:c>
      <x:c r="O7" s="28" t="str">
        <x:v>Build verified</x:v>
      </x:c>
      <x:c r="P7" s="28" t="str"/>
      <x:c r="Q7" s="28" t="str">
        <x:v>planning/single/page.tsx</x:v>
      </x:c>
      <x:c r="R7" s="28" t="str">
        <x:v>JRN-PLANNER-SINGLE-001</x:v>
      </x:c>
      <x:c r="S7" s="28" t="str">
        <x:v>https://github.com/Vikram-Indla/Inspection/blob/ada62124c5f8c8066cec397dc70fab31be9b0c7d/apps/web/src/app/(app)/planning/single/page.tsx</x:v>
      </x:c>
      <x:c r="T7" s="28" t="str">
        <x:v>PARTIALLY IMPLEMENTED</x:v>
      </x:c>
    </x:row>
    <x:row r="8" ht="30" customHeight="1">
      <x:c r="A8" s="28" t="str">
        <x:v>SCR-EXEC</x:v>
      </x:c>
      <x:c r="B8" s="28" t="str">
        <x:v>Execution center</x:v>
      </x:c>
      <x:c r="C8" s="28" t="str">
        <x:v>/execution</x:v>
      </x:c>
      <x:c r="D8" s="28" t="str">
        <x:v>Staff/Inspector visibility unclear</x:v>
      </x:c>
      <x:c r="E8" s="28" t="str">
        <x:v>View execution workload</x:v>
      </x:c>
      <x:c r="F8" s="28" t="str">
        <x:v>Authorized</x:v>
      </x:c>
      <x:c r="G8" s="28" t="str">
        <x:v>Open visit/task</x:v>
      </x:c>
      <x:c r="H8" s="28" t="str">
        <x:v>Visits/inspections</x:v>
      </x:c>
      <x:c r="I8" s="28" t="str">
        <x:v>Filters/actions</x:v>
      </x:c>
      <x:c r="J8" s="28" t="str">
        <x:v>Present/unknown</x:v>
      </x:c>
      <x:c r="K8" s="28" t="str">
        <x:v>Loading</x:v>
      </x:c>
      <x:c r="L8" s="28" t="str">
        <x:v>Neutral errors</x:v>
      </x:c>
      <x:c r="M8" s="28" t="str">
        <x:v>Guarded</x:v>
      </x:c>
      <x:c r="N8" s="28" t="str">
        <x:v>i18n present</x:v>
      </x:c>
      <x:c r="O8" s="28" t="str">
        <x:v>Build verified</x:v>
      </x:c>
      <x:c r="P8" s="28" t="str"/>
      <x:c r="Q8" s="28" t="str">
        <x:v>execution/page.tsx</x:v>
      </x:c>
      <x:c r="R8" s="28" t="str">
        <x:v>JRN-INSPECTOR-*</x:v>
      </x:c>
      <x:c r="S8" s="28" t="str">
        <x:v>https://github.com/Vikram-Indla/Inspection/blob/ada62124c5f8c8066cec397dc70fab31be9b0c7d/apps/web/src/app/(app)/execution/page.tsx</x:v>
      </x:c>
      <x:c r="T8" s="28" t="str">
        <x:v>PARTIALLY IMPLEMENTED</x:v>
      </x:c>
    </x:row>
    <x:row r="9" ht="30" customHeight="1">
      <x:c r="A9" s="28" t="str">
        <x:v>SCR-REVIEW</x:v>
      </x:c>
      <x:c r="B9" s="28" t="str">
        <x:v>Review queue</x:v>
      </x:c>
      <x:c r="C9" s="28" t="str">
        <x:v>/reviews</x:v>
      </x:c>
      <x:c r="D9" s="28" t="str">
        <x:v>Reviewer/Approver</x:v>
      </x:c>
      <x:c r="E9" s="28" t="str">
        <x:v>Review submissions</x:v>
      </x:c>
      <x:c r="F9" s="28" t="str">
        <x:v>Authorized reviewer</x:v>
      </x:c>
      <x:c r="G9" s="28" t="str">
        <x:v>Open review</x:v>
      </x:c>
      <x:c r="H9" s="28" t="str">
        <x:v>Submission metadata</x:v>
      </x:c>
      <x:c r="I9" s="28" t="str">
        <x:v>Decision queue</x:v>
      </x:c>
      <x:c r="J9" s="28" t="str">
        <x:v>Empty route</x:v>
      </x:c>
      <x:c r="K9" s="28" t="str">
        <x:v>Loading</x:v>
      </x:c>
      <x:c r="L9" s="28" t="str">
        <x:v>Neutral error</x:v>
      </x:c>
      <x:c r="M9" s="28" t="str">
        <x:v>Guarded</x:v>
      </x:c>
      <x:c r="N9" s="28" t="str">
        <x:v>i18n present</x:v>
      </x:c>
      <x:c r="O9" s="28" t="str">
        <x:v>Build verified</x:v>
      </x:c>
      <x:c r="P9" s="28" t="str">
        <x:v>SCR-003</x:v>
      </x:c>
      <x:c r="Q9" s="28" t="str">
        <x:v>reviews/page.tsx</x:v>
      </x:c>
      <x:c r="R9" s="28" t="str">
        <x:v>JRN-REVIEWER-DECIDE-001</x:v>
      </x:c>
      <x:c r="S9" s="28" t="str">
        <x:v>https://github.com/Vikram-Indla/Inspection/blob/ada62124c5f8c8066cec397dc70fab31be9b0c7d/apps/web/src/app/(app)/reviews/page.tsx</x:v>
      </x:c>
      <x:c r="T9" s="28" t="str">
        <x:v>BLOCKED FROM VERIFICATION</x:v>
      </x:c>
    </x:row>
    <x:row r="10" ht="30" customHeight="1">
      <x:c r="A10" s="28" t="str">
        <x:v>SCR-REVIEW-WS</x:v>
      </x:c>
      <x:c r="B10" s="28" t="str">
        <x:v>Review workspace</x:v>
      </x:c>
      <x:c r="C10" s="28" t="str">
        <x:v>/reviews/[id]</x:v>
      </x:c>
      <x:c r="D10" s="28" t="str">
        <x:v>Reviewer/Approver</x:v>
      </x:c>
      <x:c r="E10" s="28" t="str">
        <x:v>Compare immutable version and decide</x:v>
      </x:c>
      <x:c r="F10" s="28" t="str">
        <x:v>Submitted inspection</x:v>
      </x:c>
      <x:c r="G10" s="28" t="str">
        <x:v>Approve/reject/return</x:v>
      </x:c>
      <x:c r="H10" s="28" t="str">
        <x:v>Checklist/evidence/version</x:v>
      </x:c>
      <x:c r="I10" s="28" t="str">
        <x:v>Decision reason/scope</x:v>
      </x:c>
      <x:c r="J10" s="28" t="str">
        <x:v>N/A</x:v>
      </x:c>
      <x:c r="K10" s="28" t="str">
        <x:v>Loading</x:v>
      </x:c>
      <x:c r="L10" s="28" t="str">
        <x:v>Stale/version errors</x:v>
      </x:c>
      <x:c r="M10" s="28" t="str">
        <x:v>Guarded</x:v>
      </x:c>
      <x:c r="N10" s="28" t="str">
        <x:v>i18n present</x:v>
      </x:c>
      <x:c r="O10" s="28" t="str">
        <x:v>Build verified</x:v>
      </x:c>
      <x:c r="P10" s="28" t="str"/>
      <x:c r="Q10" s="28" t="str">
        <x:v>reviews/[id]/page.tsx</x:v>
      </x:c>
      <x:c r="R10" s="28" t="str">
        <x:v>JRN-REVIEWER-DECIDE-001</x:v>
      </x:c>
      <x:c r="S10" s="28" t="str">
        <x:v>https://github.com/Vikram-Indla/Inspection/blob/ada62124c5f8c8066cec397dc70fab31be9b0c7d/apps/web/src/app/(app)/reviews/[id]/page.tsx</x:v>
      </x:c>
      <x:c r="T10" s="28" t="str">
        <x:v>PARTIALLY IMPLEMENTED</x:v>
      </x:c>
    </x:row>
    <x:row r="11" ht="30" customHeight="1">
      <x:c r="A11" s="28" t="str">
        <x:v>SCR-CASES</x:v>
      </x:c>
      <x:c r="B11" s="28" t="str">
        <x:v>Cases</x:v>
      </x:c>
      <x:c r="C11" s="28" t="str">
        <x:v>/cases</x:v>
      </x:c>
      <x:c r="D11" s="28" t="str">
        <x:v>Compliance/Reviewer</x:v>
      </x:c>
      <x:c r="E11" s="28" t="str">
        <x:v>Open follow-up case</x:v>
      </x:c>
      <x:c r="F11" s="28" t="str">
        <x:v>Authorized</x:v>
      </x:c>
      <x:c r="G11" s="28" t="str">
        <x:v>Open correction/reinspection/appeal</x:v>
      </x:c>
      <x:c r="H11" s="28" t="str">
        <x:v>Factory/inspection/cases</x:v>
      </x:c>
      <x:c r="I11" s="28" t="str">
        <x:v>Case type</x:v>
      </x:c>
      <x:c r="J11" s="28" t="str">
        <x:v>Unknown</x:v>
      </x:c>
      <x:c r="K11" s="28" t="str">
        <x:v>Loading</x:v>
      </x:c>
      <x:c r="L11" s="28" t="str">
        <x:v>Neutral write error</x:v>
      </x:c>
      <x:c r="M11" s="28" t="str">
        <x:v>RLS comment</x:v>
      </x:c>
      <x:c r="N11" s="28" t="str">
        <x:v>Partial</x:v>
      </x:c>
      <x:c r="O11" s="28" t="str">
        <x:v>Build verified</x:v>
      </x:c>
      <x:c r="P11" s="28" t="str"/>
      <x:c r="Q11" s="28" t="str">
        <x:v>cases/page.tsx</x:v>
      </x:c>
      <x:c r="R11" s="28" t="str">
        <x:v>JRN-COMPLIANCE-CASE-001</x:v>
      </x:c>
      <x:c r="S11" s="28" t="str">
        <x:v>https://github.com/Vikram-Indla/Inspection/blob/ada62124c5f8c8066cec397dc70fab31be9b0c7d/apps/web/src/app/(app)/cases/page.tsx</x:v>
      </x:c>
      <x:c r="T11" s="28" t="str">
        <x:v>PARTIALLY IMPLEMENTED</x:v>
      </x:c>
    </x:row>
    <x:row r="12" ht="30" customHeight="1">
      <x:c r="A12" s="28" t="str">
        <x:v>SCR-DASH</x:v>
      </x:c>
      <x:c r="B12" s="28" t="str">
        <x:v>Dashboard</x:v>
      </x:c>
      <x:c r="C12" s="28" t="str">
        <x:v>/dashboard</x:v>
      </x:c>
      <x:c r="D12" s="28" t="str">
        <x:v>Operations/Leadership</x:v>
      </x:c>
      <x:c r="E12" s="28" t="str">
        <x:v>View KPIs</x:v>
      </x:c>
      <x:c r="F12" s="28" t="str">
        <x:v>Authorized</x:v>
      </x:c>
      <x:c r="G12" s="28" t="str">
        <x:v>Perspective/drill</x:v>
      </x:c>
      <x:c r="H12" s="28" t="str">
        <x:v>Facts/KPI config</x:v>
      </x:c>
      <x:c r="I12" s="28" t="str">
        <x:v>Filters</x:v>
      </x:c>
      <x:c r="J12" s="28" t="str">
        <x:v>Unavailable states</x:v>
      </x:c>
      <x:c r="K12" s="28" t="str">
        <x:v>Loading</x:v>
      </x:c>
      <x:c r="L12" s="28" t="str">
        <x:v>Neutral errors</x:v>
      </x:c>
      <x:c r="M12" s="28" t="str">
        <x:v>Guarded</x:v>
      </x:c>
      <x:c r="N12" s="28" t="str">
        <x:v>i18n present</x:v>
      </x:c>
      <x:c r="O12" s="28" t="str">
        <x:v>Build verified</x:v>
      </x:c>
      <x:c r="P12" s="28" t="str"/>
      <x:c r="Q12" s="28" t="str">
        <x:v>dashboard/page.tsx</x:v>
      </x:c>
      <x:c r="R12" s="28" t="str">
        <x:v>JRN-EXEC-DASH-001</x:v>
      </x:c>
      <x:c r="S12" s="28" t="str">
        <x:v>https://github.com/Vikram-Indla/Inspection/blob/ada62124c5f8c8066cec397dc70fab31be9b0c7d/apps/web/src/app/(app)/dashboard/page.tsx</x:v>
      </x:c>
      <x:c r="T12" s="28" t="str">
        <x:v>IMPLEMENTED BUT BROKEN</x:v>
      </x:c>
    </x:row>
    <x:row r="13" ht="30" customHeight="1">
      <x:c r="A13" s="28" t="str">
        <x:v>SCR-OPS</x:v>
      </x:c>
      <x:c r="B13" s="28" t="str">
        <x:v>Operations Center</x:v>
      </x:c>
      <x:c r="C13" s="28" t="str">
        <x:v>/operations</x:v>
      </x:c>
      <x:c r="D13" s="28" t="str">
        <x:v>Operations</x:v>
      </x:c>
      <x:c r="E13" s="28" t="str">
        <x:v>Monitor national operations</x:v>
      </x:c>
      <x:c r="F13" s="28" t="str">
        <x:v>Authorized</x:v>
      </x:c>
      <x:c r="G13" s="28" t="str">
        <x:v>Map/list/drill</x:v>
      </x:c>
      <x:c r="H13" s="28" t="str">
        <x:v>Visits/geo/factory</x:v>
      </x:c>
      <x:c r="I13" s="28" t="str">
        <x:v>Filters</x:v>
      </x:c>
      <x:c r="J13" s="28" t="str">
        <x:v>Scoped empty</x:v>
      </x:c>
      <x:c r="K13" s="28" t="str">
        <x:v>Loading</x:v>
      </x:c>
      <x:c r="L13" s="28" t="str">
        <x:v>Provider withdrawal</x:v>
      </x:c>
      <x:c r="M13" s="28" t="str">
        <x:v>Guarded</x:v>
      </x:c>
      <x:c r="N13" s="28" t="str">
        <x:v>i18n present</x:v>
      </x:c>
      <x:c r="O13" s="28" t="str">
        <x:v>Build verified</x:v>
      </x:c>
      <x:c r="P13" s="28" t="str"/>
      <x:c r="Q13" s="28" t="str">
        <x:v>operations/page.tsx</x:v>
      </x:c>
      <x:c r="R13" s="28" t="str">
        <x:v>JRN-OPS-MONITOR-001</x:v>
      </x:c>
      <x:c r="S13" s="28" t="str">
        <x:v>https://github.com/Vikram-Indla/Inspection/blob/ada62124c5f8c8066cec397dc70fab31be9b0c7d/apps/web/src/app/(app)/operations/page.tsx</x:v>
      </x:c>
      <x:c r="T13" s="28" t="str">
        <x:v>PARTIALLY IMPLEMENTED</x:v>
      </x:c>
    </x:row>
    <x:row r="14" ht="30" customHeight="1">
      <x:c r="A14" s="28" t="str">
        <x:v>SCR-F360</x:v>
      </x:c>
      <x:c r="B14" s="28" t="str">
        <x:v>Factory 360</x:v>
      </x:c>
      <x:c r="C14" s="28" t="str">
        <x:v>/factories/[id]</x:v>
      </x:c>
      <x:c r="D14" s="28" t="str">
        <x:v>Planner/Operations/Reviewer</x:v>
      </x:c>
      <x:c r="E14" s="28" t="str">
        <x:v>View canonical factory context</x:v>
      </x:c>
      <x:c r="F14" s="28" t="str">
        <x:v>Factory in scope</x:v>
      </x:c>
      <x:c r="G14" s="28" t="str">
        <x:v>Drill/cross-link</x:v>
      </x:c>
      <x:c r="H14" s="28" t="str">
        <x:v>Factory/licence/CR/plant</x:v>
      </x:c>
      <x:c r="I14" s="28" t="str">
        <x:v>None</x:v>
      </x:c>
      <x:c r="J14" s="28" t="str">
        <x:v>Unavailable states</x:v>
      </x:c>
      <x:c r="K14" s="28" t="str">
        <x:v>Loading</x:v>
      </x:c>
      <x:c r="L14" s="28" t="str">
        <x:v>Neutral errors</x:v>
      </x:c>
      <x:c r="M14" s="28" t="str">
        <x:v>Guarded</x:v>
      </x:c>
      <x:c r="N14" s="28" t="str">
        <x:v>i18n present</x:v>
      </x:c>
      <x:c r="O14" s="28" t="str">
        <x:v>Build verified</x:v>
      </x:c>
      <x:c r="P14" s="28" t="str"/>
      <x:c r="Q14" s="28" t="str">
        <x:v>factories/[id]/page.tsx</x:v>
      </x:c>
      <x:c r="R14" s="28" t="str">
        <x:v>JRN-FACTORY-360-001</x:v>
      </x:c>
      <x:c r="S14" s="28" t="str">
        <x:v>https://github.com/Vikram-Indla/Inspection/blob/ada62124c5f8c8066cec397dc70fab31be9b0c7d/apps/web/src/app/(app)/factories/[id]/page.tsx</x:v>
      </x:c>
      <x:c r="T14" s="28" t="str">
        <x:v>PARTIALLY IMPLEMENTED</x:v>
      </x:c>
    </x:row>
    <x:row r="15" ht="30" customHeight="1">
      <x:c r="A15" s="28" t="str">
        <x:v>SCR-ADMIN-EXEC</x:v>
      </x:c>
      <x:c r="B15" s="28" t="str">
        <x:v>Execution administration</x:v>
      </x:c>
      <x:c r="C15" s="28" t="str">
        <x:v>/admin/execution</x:v>
      </x:c>
      <x:c r="D15" s="28" t="str">
        <x:v>Administrator</x:v>
      </x:c>
      <x:c r="E15" s="28" t="str">
        <x:v>Inspect/edit governed execution config</x:v>
      </x:c>
      <x:c r="F15" s="28" t="str">
        <x:v>Admin capability</x:v>
      </x:c>
      <x:c r="G15" s="28" t="str">
        <x:v>Edit/publish settings</x:v>
      </x:c>
      <x:c r="H15" s="28" t="str">
        <x:v>Engine settings</x:v>
      </x:c>
      <x:c r="I15" s="28" t="str">
        <x:v>Policy values</x:v>
      </x:c>
      <x:c r="J15" s="28" t="str">
        <x:v>Not configured states</x:v>
      </x:c>
      <x:c r="K15" s="28" t="str">
        <x:v>Loading</x:v>
      </x:c>
      <x:c r="L15" s="28" t="str">
        <x:v>Validation</x:v>
      </x:c>
      <x:c r="M15" s="28" t="str">
        <x:v>Guarded</x:v>
      </x:c>
      <x:c r="N15" s="28" t="str">
        <x:v>i18n present</x:v>
      </x:c>
      <x:c r="O15" s="28" t="str">
        <x:v>Build verified</x:v>
      </x:c>
      <x:c r="P15" s="28" t="str"/>
      <x:c r="Q15" s="28" t="str">
        <x:v>admin/execution/page.tsx</x:v>
      </x:c>
      <x:c r="R15" s="28" t="str">
        <x:v>JRN-ADMIN-EXEC-001</x:v>
      </x:c>
      <x:c r="S15" s="28" t="str">
        <x:v>https://github.com/Vikram-Indla/Inspection/blob/ada62124c5f8c8066cec397dc70fab31be9b0c7d/apps/web/src/app/admin/execution/page.tsx</x:v>
      </x:c>
      <x:c r="T15" s="28" t="str">
        <x:v>BLOCKED FROM VERIFICATION</x:v>
      </x:c>
    </x:row>
    <x:row r="16" ht="30" customHeight="1">
      <x:c r="A16" s="28" t="str">
        <x:v>SCR-AUDIT</x:v>
      </x:c>
      <x:c r="B16" s="28" t="str">
        <x:v>Audit administration</x:v>
      </x:c>
      <x:c r="C16" s="28" t="str">
        <x:v>/admin/audit</x:v>
      </x:c>
      <x:c r="D16" s="28" t="str">
        <x:v>Audit/Admin</x:v>
      </x:c>
      <x:c r="E16" s="28" t="str">
        <x:v>Investigate immutable events</x:v>
      </x:c>
      <x:c r="F16" s="28" t="str">
        <x:v>Audit capability</x:v>
      </x:c>
      <x:c r="G16" s="28" t="str">
        <x:v>Search/filter/export/replay if authorized</x:v>
      </x:c>
      <x:c r="H16" s="28" t="str">
        <x:v>Audit events</x:v>
      </x:c>
      <x:c r="I16" s="28" t="str">
        <x:v>Filters</x:v>
      </x:c>
      <x:c r="J16" s="28" t="str">
        <x:v>Empty</x:v>
      </x:c>
      <x:c r="K16" s="28" t="str">
        <x:v>Loading</x:v>
      </x:c>
      <x:c r="L16" s="28" t="str">
        <x:v>Neutral errors</x:v>
      </x:c>
      <x:c r="M16" s="28" t="str">
        <x:v>Guarded</x:v>
      </x:c>
      <x:c r="N16" s="28" t="str">
        <x:v>i18n present</x:v>
      </x:c>
      <x:c r="O16" s="28" t="str">
        <x:v>Build verified</x:v>
      </x:c>
      <x:c r="P16" s="28" t="str"/>
      <x:c r="Q16" s="28" t="str">
        <x:v>admin/audit/page.tsx</x:v>
      </x:c>
      <x:c r="R16" s="28" t="str">
        <x:v>JRN-AUDITOR-AUDIT-001</x:v>
      </x:c>
      <x:c r="S16" s="28" t="str">
        <x:v>https://github.com/Vikram-Indla/Inspection/blob/ada62124c5f8c8066cec397dc70fab31be9b0c7d/apps/web/src/app/(app)/admin/audit/page.tsx</x:v>
      </x:c>
      <x:c r="T16" s="28" t="str">
        <x:v>BLOCKED FROM VERIFICATION</x:v>
      </x:c>
    </x:row>
  </x:sheetData>
  <x:mergeCells>
    <x:mergeCell ref="A1:T1"/>
  </x:mergeCells>
  <x:pageMargins left="0.7" right="0.7" top="0.75" bottom="0.75" header="0.3" footer="0.3"/>
  <x:tableParts count="1">
    <x:tablePart xmlns:r="http://schemas.openxmlformats.org/officeDocument/2006/relationships" r:id="Ra1191d2b19fc435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3" hidden="0" customWidth="1"/>
    <x:col min="2" max="2" width="12" hidden="0" customWidth="1"/>
    <x:col min="3" max="3" width="19" hidden="0" customWidth="1"/>
    <x:col min="4" max="4" width="12" hidden="0" customWidth="1"/>
    <x:col min="5" max="5" width="21" hidden="0" customWidth="1"/>
    <x:col min="6" max="6" width="22" hidden="0" customWidth="1"/>
    <x:col min="7" max="7" width="12" hidden="0" customWidth="1"/>
    <x:col min="8" max="8" width="22" hidden="0" customWidth="1"/>
    <x:col min="9" max="9" width="12" hidden="0" customWidth="1"/>
    <x:col min="10" max="10" width="18" hidden="0" customWidth="1"/>
    <x:col min="11" max="11" width="24" hidden="0" customWidth="1"/>
    <x:col min="12" max="12" width="13" hidden="0" customWidth="1"/>
    <x:col min="13" max="13" width="12" hidden="0" customWidth="1"/>
    <x:col min="14" max="14" width="15" hidden="0" customWidth="1"/>
    <x:col min="15" max="15" width="22" hidden="0" customWidth="1"/>
    <x:col min="16" max="16" width="20" hidden="0" customWidth="1"/>
    <x:col min="17" max="17" width="19" hidden="0" customWidth="1"/>
    <x:col min="18" max="18" width="16" hidden="0" customWidth="1"/>
    <x:col min="19" max="19" width="22" hidden="0" customWidth="1"/>
  </x:cols>
  <x:sheetData>
    <x:row r="1" ht="30" customHeight="1">
      <x:c r="A1" s="24" t="str">
        <x:v>07 DATA LINEAGE</x:v>
      </x:c>
      <x:c r="B1" s="25"/>
      <x:c r="C1" s="25"/>
      <x:c r="D1" s="25"/>
      <x:c r="E1" s="25"/>
      <x:c r="F1" s="25"/>
      <x:c r="G1" s="25"/>
      <x:c r="H1" s="25"/>
      <x:c r="I1" s="25"/>
      <x:c r="J1" s="25"/>
      <x:c r="K1" s="25"/>
      <x:c r="L1" s="25"/>
      <x:c r="M1" s="25"/>
      <x:c r="N1" s="25"/>
      <x:c r="O1" s="25"/>
      <x:c r="P1" s="25"/>
      <x:c r="Q1" s="25"/>
      <x:c r="R1" s="25"/>
      <x:c r="S1" s="25"/>
    </x:row>
    <x:row r="2" ht="30" customHeight="1">
      <x:c r="A2" s="26" t="str">
        <x:v>Audit snapshot · 2026-07-30 (Asia/Riyadh) · commit ada62124</x:v>
      </x:c>
      <x:c r="B2" s="26" t="str"/>
      <x:c r="C2" s="26" t="str"/>
      <x:c r="D2" s="26" t="str"/>
      <x:c r="E2" s="26" t="str"/>
      <x:c r="F2" s="26" t="str"/>
      <x:c r="G2" s="26" t="str"/>
      <x:c r="H2" s="26" t="str"/>
      <x:c r="I2" s="26" t="str"/>
      <x:c r="J2" s="26" t="str"/>
      <x:c r="K2" s="26" t="str"/>
      <x:c r="L2" s="26" t="str"/>
      <x:c r="M2" s="26" t="str"/>
      <x:c r="N2" s="26" t="str"/>
      <x:c r="O2" s="26" t="str"/>
      <x:c r="P2" s="26" t="str"/>
      <x:c r="Q2" s="26" t="str"/>
      <x:c r="R2" s="26" t="str"/>
      <x:c r="S2" s="26" t="str"/>
    </x:row>
    <x:row r="3" ht="30" customHeight="1">
      <x:c r="A3" s="25"/>
      <x:c r="B3" s="25"/>
      <x:c r="C3" s="25"/>
      <x:c r="D3" s="25"/>
      <x:c r="E3" s="25"/>
      <x:c r="F3" s="25"/>
      <x:c r="G3" s="25"/>
      <x:c r="H3" s="25"/>
      <x:c r="I3" s="25"/>
      <x:c r="J3" s="25"/>
      <x:c r="K3" s="25"/>
      <x:c r="L3" s="25"/>
      <x:c r="M3" s="25"/>
      <x:c r="N3" s="25"/>
      <x:c r="O3" s="25"/>
      <x:c r="P3" s="25"/>
      <x:c r="Q3" s="25"/>
      <x:c r="R3" s="25"/>
      <x:c r="S3" s="25"/>
    </x:row>
    <x:row r="4" ht="30" customHeight="1">
      <x:c r="A4" s="27" t="str">
        <x:v>Journey ID</x:v>
      </x:c>
      <x:c r="B4" s="27" t="str">
        <x:v>Step ID</x:v>
      </x:c>
      <x:c r="C4" s="27" t="str">
        <x:v>UI field/control</x:v>
      </x:c>
      <x:c r="D4" s="27" t="str">
        <x:v>Operation</x:v>
      </x:c>
      <x:c r="E4" s="27" t="str">
        <x:v>Frontend component</x:v>
      </x:c>
      <x:c r="F4" s="27" t="str">
        <x:v>Hook/service/client</x:v>
      </x:c>
      <x:c r="G4" s="27" t="str">
        <x:v>API/RPC</x:v>
      </x:c>
      <x:c r="H4" s="27" t="str">
        <x:v>Table/view/function</x:v>
      </x:c>
      <x:c r="I4" s="27" t="str">
        <x:v>Column</x:v>
      </x:c>
      <x:c r="J4" s="27" t="str">
        <x:v>FK relationship</x:v>
      </x:c>
      <x:c r="K4" s="27" t="str">
        <x:v>Validation/constraint</x:v>
      </x:c>
      <x:c r="L4" s="27" t="str">
        <x:v>RLS/policy</x:v>
      </x:c>
      <x:c r="M4" s="27" t="str">
        <x:v>Trigger</x:v>
      </x:c>
      <x:c r="N4" s="27" t="str">
        <x:v>Audit effect</x:v>
      </x:c>
      <x:c r="O4" s="27" t="str">
        <x:v>Notification effect</x:v>
      </x:c>
      <x:c r="P4" s="27" t="str">
        <x:v>Downstream impact</x:v>
      </x:c>
      <x:c r="Q4" s="27" t="str">
        <x:v>Failure behavior</x:v>
      </x:c>
      <x:c r="R4" s="27" t="str">
        <x:v>Evidence link</x:v>
      </x:c>
      <x:c r="S4" s="27" t="str">
        <x:v>Verification status</x:v>
      </x:c>
    </x:row>
    <x:row r="5" ht="30" customHeight="1">
      <x:c r="A5" s="28" t="str">
        <x:v>JRN-PLANNER-SINGLE-001</x:v>
      </x:c>
      <x:c r="B5" s="28" t="str">
        <x:v>JRN-PLANNER-SINGLE-001-S01</x:v>
      </x:c>
      <x:c r="C5" s="28" t="str">
        <x:v>Form</x:v>
      </x:c>
      <x:c r="D5" s="28" t="str">
        <x:v>Create</x:v>
      </x:c>
      <x:c r="E5" s="28" t="str">
        <x:v>https://github.com/Vikram-Indla/Inspection/blob/ada62124c5f8c8066cec397dc70fab31be9b0c7d/apps/web/src/app/(app)/admin/access/page.tsx</x:v>
      </x:c>
      <x:c r="F5" s="28" t="str">
        <x:v>Supabase auth + tables</x:v>
      </x:c>
      <x:c r="G5" s="28" t="str">
        <x:v>Supabase auth + tables</x:v>
      </x:c>
      <x:c r="H5" s="28" t="str">
        <x:v>user_id, role_id</x:v>
      </x:c>
      <x:c r="I5" s="28" t="str">
        <x:v>absent</x:v>
      </x:c>
      <x:c r="J5" s="28" t="str">
        <x:v>See schema/FKs</x:v>
      </x:c>
      <x:c r="K5" s="28" t="str">
        <x:v>See constraints/migrations</x:v>
      </x:c>
      <x:c r="L5" s="28" t="str">
        <x:v>RLS enabled; exact policy per table</x:v>
      </x:c>
      <x:c r="M5" s="28" t="str">
        <x:v>Audit/lifecycle triggers where configured</x:v>
      </x:c>
      <x:c r="N5" s="28" t="str">
        <x:v>Persona becomes usable</x:v>
      </x:c>
      <x:c r="O5" s="28" t="str">
        <x:v>Runtime blocked by sign-in/directory</x:v>
      </x:c>
      <x:c r="P5" s="28" t="str">
        <x:v>Provision via approved identity process</x:v>
      </x:c>
      <x:c r="Q5" s="28" t="str">
        <x:v>Directory/credential failure</x:v>
      </x:c>
      <x:c r="R5" s="28" t="str">
        <x:v>Medium</x:v>
      </x:c>
      <x:c r="S5" s="28" t="str">
        <x:v>Partial</x:v>
      </x:c>
    </x:row>
    <x:row r="6" ht="30" customHeight="1">
      <x:c r="A6" s="28" t="str">
        <x:v>JRN-ADMIN-CONFIG-001</x:v>
      </x:c>
      <x:c r="B6" s="28" t="str">
        <x:v>JRN-ADMIN-CONFIG-001-S01</x:v>
      </x:c>
      <x:c r="C6" s="28" t="str">
        <x:v>Wizard/form</x:v>
      </x:c>
      <x:c r="D6" s="28" t="str">
        <x:v>compliance_configuration_requests and components</x:v>
      </x:c>
      <x:c r="E6" s="28" t="str">
        <x:v>Medium</x:v>
      </x:c>
      <x:c r="F6" s="28" t="str">
        <x:v>Create/update</x:v>
      </x:c>
      <x:c r="G6" s="28" t="str">
        <x:v>Create/update</x:v>
      </x:c>
      <x:c r="H6" s="28" t="str">
        <x:v>none</x:v>
      </x:c>
      <x:c r="I6" s="28" t="str">
        <x:v>draft/pending</x:v>
      </x:c>
      <x:c r="J6" s="28" t="str">
        <x:v>See schema/FKs</x:v>
      </x:c>
      <x:c r="K6" s="28" t="str">
        <x:v>See constraints/migrations</x:v>
      </x:c>
      <x:c r="L6" s="28" t="str">
        <x:v>RLS enabled; exact policy per table</x:v>
      </x:c>
      <x:c r="M6" s="28" t="str">
        <x:v>Audit/lifecycle triggers where configured</x:v>
      </x:c>
      <x:c r="N6" s="28" t="str">
        <x:v>Not runtime verified</x:v>
      </x:c>
      <x:c r="O6" s="28" t="str">
        <x:v>S03</x:v>
      </x:c>
      <x:c r="P6" s="28" t="str">
        <x:v>BP-003</x:v>
      </x:c>
      <x:c r="Q6" s="28" t="str">
        <x:v>Correct and resubmit</x:v>
      </x:c>
      <x:c r="R6" s="28"/>
      <x:c r="S6" s="28" t="str">
        <x:v>Partial</x:v>
      </x:c>
    </x:row>
    <x:row r="7" ht="30" customHeight="1">
      <x:c r="A7" s="28" t="str">
        <x:v>JRN-ADMIN-EXEC-001</x:v>
      </x:c>
      <x:c r="B7" s="28" t="str">
        <x:v>JRN-ADMIN-EXEC-001-S01</x:v>
      </x:c>
      <x:c r="C7" s="28" t="str">
        <x:v>Forms</x:v>
      </x:c>
      <x:c r="D7" s="28" t="str">
        <x:v>engine_settings</x:v>
      </x:c>
      <x:c r="E7" s="28" t="str">
        <x:v>High</x:v>
      </x:c>
      <x:c r="F7" s="28" t="str">
        <x:v>Update</x:v>
      </x:c>
      <x:c r="G7" s="28" t="str">
        <x:v>Update</x:v>
      </x:c>
      <x:c r="H7" s="28" t="str">
        <x:v>draft</x:v>
      </x:c>
      <x:c r="I7" s="28" t="str">
        <x:v>active</x:v>
      </x:c>
      <x:c r="J7" s="28" t="str">
        <x:v>See schema/FKs</x:v>
      </x:c>
      <x:c r="K7" s="28" t="str">
        <x:v>See constraints/migrations</x:v>
      </x:c>
      <x:c r="L7" s="28" t="str">
        <x:v>RLS enabled; exact policy per table</x:v>
      </x:c>
      <x:c r="M7" s="28" t="str">
        <x:v>Audit/lifecycle triggers where configured</x:v>
      </x:c>
      <x:c r="N7" s="28" t="str">
        <x:v>Cannot prove configured values</x:v>
      </x:c>
      <x:c r="O7" s="28" t="str">
        <x:v>S04</x:v>
      </x:c>
      <x:c r="P7" s="28" t="str">
        <x:v>BP-004</x:v>
      </x:c>
      <x:c r="Q7" s="28" t="str">
        <x:v>Change control</x:v>
      </x:c>
      <x:c r="R7" s="28"/>
      <x:c r="S7" s="28" t="str">
        <x:v>Partial</x:v>
      </x:c>
    </x:row>
    <x:row r="8" ht="30" customHeight="1">
      <x:c r="A8" s="28" t="str">
        <x:v>JRN-PLANNER-SINGLE-001</x:v>
      </x:c>
      <x:c r="B8" s="28" t="str">
        <x:v>JRN-PLANNER-SINGLE-001-S02</x:v>
      </x:c>
      <x:c r="C8" s="28" t="str">
        <x:v>Search/select</x:v>
      </x:c>
      <x:c r="D8" s="28" t="str">
        <x:v>factories</x:v>
      </x:c>
      <x:c r="E8" s="28" t="str">
        <x:v>High</x:v>
      </x:c>
      <x:c r="F8" s="28" t="str">
        <x:v>Read</x:v>
      </x:c>
      <x:c r="G8" s="28" t="str">
        <x:v>Read</x:v>
      </x:c>
      <x:c r="H8" s="28" t="str">
        <x:v>none</x:v>
      </x:c>
      <x:c r="I8" s="28" t="str">
        <x:v>draft</x:v>
      </x:c>
      <x:c r="J8" s="28" t="str">
        <x:v>See schema/FKs</x:v>
      </x:c>
      <x:c r="K8" s="28" t="str">
        <x:v>See constraints/migrations</x:v>
      </x:c>
      <x:c r="L8" s="28" t="str">
        <x:v>RLS enabled; exact policy per table</x:v>
      </x:c>
      <x:c r="M8" s="28" t="str">
        <x:v>Audit/lifecycle triggers where configured</x:v>
      </x:c>
      <x:c r="N8" s="28" t="str">
        <x:v>Runtime auth blocked</x:v>
      </x:c>
      <x:c r="O8" s="28" t="str">
        <x:v>S05</x:v>
      </x:c>
      <x:c r="P8" s="28" t="str">
        <x:v>BP-005</x:v>
      </x:c>
      <x:c r="Q8" s="28" t="str">
        <x:v>Resolve master data</x:v>
      </x:c>
      <x:c r="R8" s="28"/>
      <x:c r="S8" s="28" t="str">
        <x:v>Partial</x:v>
      </x:c>
    </x:row>
    <x:row r="9" ht="30" customHeight="1">
      <x:c r="A9" s="28" t="str">
        <x:v>JRN-PLANNER-SINGLE-001</x:v>
      </x:c>
      <x:c r="B9" s="28" t="str">
        <x:v>JRN-PLANNER-SINGLE-001-S03</x:v>
      </x:c>
      <x:c r="C9" s="28" t="str">
        <x:v>Form</x:v>
      </x:c>
      <x:c r="D9" s="28" t="str">
        <x:v>visit_plans</x:v>
      </x:c>
      <x:c r="E9" s="28" t="str">
        <x:v>High</x:v>
      </x:c>
      <x:c r="F9" s="28" t="str">
        <x:v>Create/update</x:v>
      </x:c>
      <x:c r="G9" s="28" t="str">
        <x:v>Create/update</x:v>
      </x:c>
      <x:c r="H9" s="28" t="str">
        <x:v>none</x:v>
      </x:c>
      <x:c r="I9" s="28" t="str">
        <x:v>draft</x:v>
      </x:c>
      <x:c r="J9" s="28" t="str">
        <x:v>See schema/FKs</x:v>
      </x:c>
      <x:c r="K9" s="28" t="str">
        <x:v>See constraints/migrations</x:v>
      </x:c>
      <x:c r="L9" s="28" t="str">
        <x:v>RLS enabled; exact policy per table</x:v>
      </x:c>
      <x:c r="M9" s="28" t="str">
        <x:v>Audit/lifecycle triggers where configured</x:v>
      </x:c>
      <x:c r="N9" s="28" t="str">
        <x:v>Runtime auth blocked</x:v>
      </x:c>
      <x:c r="O9" s="28" t="str">
        <x:v>S06</x:v>
      </x:c>
      <x:c r="P9" s="28" t="str">
        <x:v>BP-006</x:v>
      </x:c>
      <x:c r="Q9" s="28" t="str">
        <x:v>Correct draft</x:v>
      </x:c>
      <x:c r="R9" s="28"/>
      <x:c r="S9" s="28" t="str">
        <x:v>Partial</x:v>
      </x:c>
    </x:row>
    <x:row r="10" ht="30" customHeight="1">
      <x:c r="A10" s="28" t="str">
        <x:v>JRN-PLANNER-SINGLE-001</x:v>
      </x:c>
      <x:c r="B10" s="28" t="str">
        <x:v>JRN-PLANNER-SINGLE-001-S04</x:v>
      </x:c>
      <x:c r="C10" s="28" t="str">
        <x:v>Select</x:v>
      </x:c>
      <x:c r="D10" s="28" t="str">
        <x:v>visit_id, inspector_id</x:v>
      </x:c>
      <x:c r="E10" s="28"/>
      <x:c r="F10" s="28" t="str">
        <x:v>assignments</x:v>
      </x:c>
      <x:c r="G10" s="28" t="str">
        <x:v>assignments</x:v>
      </x:c>
      <x:c r="H10" s="28" t="str">
        <x:v>assigned</x:v>
      </x:c>
      <x:c r="I10" s="28" t="str">
        <x:v>audit_events</x:v>
      </x:c>
      <x:c r="J10" s="28" t="str">
        <x:v>See schema/FKs</x:v>
      </x:c>
      <x:c r="K10" s="28" t="str">
        <x:v>See constraints/migrations</x:v>
      </x:c>
      <x:c r="L10" s="28" t="str">
        <x:v>RLS enabled; exact policy per table</x:v>
      </x:c>
      <x:c r="M10" s="28" t="str">
        <x:v>Audit/lifecycle triggers where configured</x:v>
      </x:c>
      <x:c r="N10" s="28" t="str">
        <x:v>S07</x:v>
      </x:c>
      <x:c r="O10" s="28" t="str">
        <x:v>Override with capability</x:v>
      </x:c>
      <x:c r="P10" s="28" t="str">
        <x:v>SCR-003</x:v>
      </x:c>
      <x:c r="Q10" s="28" t="str">
        <x:v>BP-006</x:v>
      </x:c>
      <x:c r="R10" s="28"/>
      <x:c r="S10" s="28" t="str">
        <x:v>Partial</x:v>
      </x:c>
    </x:row>
    <x:row r="11" ht="30" customHeight="1">
      <x:c r="A11" s="28" t="str">
        <x:v>JRN-PLANNER-SINGLE-001</x:v>
      </x:c>
      <x:c r="B11" s="28" t="str">
        <x:v>JRN-PLANNER-SINGLE-001-S05</x:v>
      </x:c>
      <x:c r="C11" s="28" t="str">
        <x:v>Idempotency intent</x:v>
      </x:c>
      <x:c r="D11" s="28" t="str">
        <x:v>multiple</x:v>
      </x:c>
      <x:c r="E11" s="28"/>
      <x:c r="F11" s="28" t="str">
        <x:v>visit_plans;visits;assignments;visit_packages;audit_events;notifications</x:v>
      </x:c>
      <x:c r="G11" s="28" t="str">
        <x:v>visit_plans;visits;assignments;visit_packages;audit_events;notifications</x:v>
      </x:c>
      <x:c r="H11" s="28" t="str">
        <x:v>published/new</x:v>
      </x:c>
      <x:c r="I11" s="28" t="str">
        <x:v>audit_events</x:v>
      </x:c>
      <x:c r="J11" s="28" t="str">
        <x:v>See schema/FKs</x:v>
      </x:c>
      <x:c r="K11" s="28" t="str">
        <x:v>See constraints/migrations</x:v>
      </x:c>
      <x:c r="L11" s="28" t="str">
        <x:v>RLS enabled; exact policy per table</x:v>
      </x:c>
      <x:c r="M11" s="28" t="str">
        <x:v>Audit/lifecycle triggers where configured</x:v>
      </x:c>
      <x:c r="N11" s="28" t="str">
        <x:v>S08</x:v>
      </x:c>
      <x:c r="O11" s="28" t="str"/>
      <x:c r="P11" s="28" t="str">
        <x:v>SCR-003</x:v>
      </x:c>
      <x:c r="Q11" s="28" t="str">
        <x:v>BP-006</x:v>
      </x:c>
      <x:c r="R11" s="28"/>
      <x:c r="S11" s="28" t="str">
        <x:v>Partial</x:v>
      </x:c>
    </x:row>
    <x:row r="12" ht="30" customHeight="1">
      <x:c r="A12" s="28" t="str">
        <x:v>JRN-INSPECTOR-PREP-001</x:v>
      </x:c>
      <x:c r="B12" s="28" t="str">
        <x:v>JRN-INSPECTOR-PREP-001-S01</x:v>
      </x:c>
      <x:c r="C12" s="28" t="str">
        <x:v>Fields/button</x:v>
      </x:c>
      <x:c r="D12" s="28" t="str">
        <x:v>auth</x:v>
      </x:c>
      <x:c r="E12" s="28" t="str">
        <x:v>High</x:v>
      </x:c>
      <x:c r="F12" s="28" t="str">
        <x:v>Read/session</x:v>
      </x:c>
      <x:c r="G12" s="28" t="str">
        <x:v>Read/session</x:v>
      </x:c>
      <x:c r="H12" s="28" t="str">
        <x:v>signed out</x:v>
      </x:c>
      <x:c r="I12" s="28" t="str">
        <x:v>signed in</x:v>
      </x:c>
      <x:c r="J12" s="28" t="str">
        <x:v>See schema/FKs</x:v>
      </x:c>
      <x:c r="K12" s="28" t="str">
        <x:v>See constraints/migrations</x:v>
      </x:c>
      <x:c r="L12" s="28" t="str">
        <x:v>RLS enabled; exact policy per table</x:v>
      </x:c>
      <x:c r="M12" s="28" t="str">
        <x:v>Audit/lifecycle triggers where configured</x:v>
      </x:c>
      <x:c r="N12" s="28" t="str">
        <x:v>Credential failed; directory contract absent</x:v>
      </x:c>
      <x:c r="O12" s="28" t="str">
        <x:v>S09</x:v>
      </x:c>
      <x:c r="P12" s="28" t="str">
        <x:v>BP-001</x:v>
      </x:c>
      <x:c r="Q12" s="28" t="str">
        <x:v>Reset/provision</x:v>
      </x:c>
      <x:c r="R12" s="28"/>
      <x:c r="S12" s="28" t="str">
        <x:v>Partial</x:v>
      </x:c>
    </x:row>
    <x:row r="13" ht="30" customHeight="1">
      <x:c r="A13" s="28" t="str">
        <x:v>JRN-INSPECTOR-PREP-001</x:v>
      </x:c>
      <x:c r="B13" s="28" t="str">
        <x:v>JRN-INSPECTOR-PREP-001-S02</x:v>
      </x:c>
      <x:c r="C13" s="28" t="str">
        <x:v>Link/card</x:v>
      </x:c>
      <x:c r="D13" s="28" t="str">
        <x:v>assignments/visits</x:v>
      </x:c>
      <x:c r="E13" s="28" t="str">
        <x:v>Medium</x:v>
      </x:c>
      <x:c r="F13" s="28" t="str">
        <x:v>Read</x:v>
      </x:c>
      <x:c r="G13" s="28" t="str">
        <x:v>Read</x:v>
      </x:c>
      <x:c r="H13" s="28" t="str">
        <x:v>published/new</x:v>
      </x:c>
      <x:c r="I13" s="28" t="str">
        <x:v>new</x:v>
      </x:c>
      <x:c r="J13" s="28" t="str">
        <x:v>See schema/FKs</x:v>
      </x:c>
      <x:c r="K13" s="28" t="str">
        <x:v>See constraints/migrations</x:v>
      </x:c>
      <x:c r="L13" s="28" t="str">
        <x:v>RLS enabled; exact policy per table</x:v>
      </x:c>
      <x:c r="M13" s="28" t="str">
        <x:v>Audit/lifecycle triggers where configured</x:v>
      </x:c>
      <x:c r="N13" s="28" t="str">
        <x:v>Blocked by authentication and field-scope exclusion</x:v>
      </x:c>
      <x:c r="O13" s="28" t="str">
        <x:v>S10</x:v>
      </x:c>
      <x:c r="P13" s="28" t="str">
        <x:v>BP-009</x:v>
      </x:c>
      <x:c r="Q13" s="28" t="str">
        <x:v>Planner repair</x:v>
      </x:c>
      <x:c r="R13" s="28"/>
      <x:c r="S13" s="28" t="str">
        <x:v>Partial</x:v>
      </x:c>
    </x:row>
    <x:row r="14" ht="30" customHeight="1">
      <x:c r="A14" s="28" t="str">
        <x:v>JRN-INSPECTOR-PREP-001</x:v>
      </x:c>
      <x:c r="B14" s="28" t="str">
        <x:v>JRN-INSPECTOR-PREP-001-S03</x:v>
      </x:c>
      <x:c r="C14" s="28" t="str">
        <x:v>Execution date/mode/package</x:v>
      </x:c>
      <x:c r="D14" s="28" t="str">
        <x:v>new</x:v>
      </x:c>
      <x:c r="E14" s="28"/>
      <x:c r="F14" s="28" t="str">
        <x:v>multiple</x:v>
      </x:c>
      <x:c r="G14" s="28" t="str">
        <x:v>multiple</x:v>
      </x:c>
      <x:c r="H14" s="28" t="str">
        <x:v>lifecycle/audit</x:v>
      </x:c>
      <x:c r="I14" s="28" t="str">
        <x:v>Possible status notice</x:v>
      </x:c>
      <x:c r="J14" s="28" t="str">
        <x:v>See schema/FKs</x:v>
      </x:c>
      <x:c r="K14" s="28" t="str">
        <x:v>See constraints/migrations</x:v>
      </x:c>
      <x:c r="L14" s="28" t="str">
        <x:v>RLS enabled; exact policy per table</x:v>
      </x:c>
      <x:c r="M14" s="28" t="str">
        <x:v>Audit/lifecycle triggers where configured</x:v>
      </x:c>
      <x:c r="N14" s="28" t="str">
        <x:v>Save/resume</x:v>
      </x:c>
      <x:c r="O14" s="28" t="str">
        <x:v>Missing config/package</x:v>
      </x:c>
      <x:c r="P14" s="28" t="str">
        <x:v>https://github.com/Vikram-Indla/Inspection/blob/ada62124c5f8c8066cec397dc70fab31be9b0c7d/apps/web/src/app/(app)/field/[visitId]/page.tsx</x:v>
      </x:c>
      <x:c r="Q14" s="28" t="str"/>
      <x:c r="R14" s="28"/>
      <x:c r="S14" s="28" t="str">
        <x:v>Partial</x:v>
      </x:c>
    </x:row>
    <x:row r="15" ht="30" customHeight="1">
      <x:c r="A15" s="28" t="str">
        <x:v>JRN-INSPECTOR-TRAVEL-001</x:v>
      </x:c>
      <x:c r="B15" s="28" t="str">
        <x:v>JRN-INSPECTOR-TRAVEL-001-S01</x:v>
      </x:c>
      <x:c r="C15" s="28" t="str">
        <x:v>Current time/location</x:v>
      </x:c>
      <x:c r="D15" s="28" t="str">
        <x:v>prepared</x:v>
      </x:c>
      <x:c r="E15" s="28"/>
      <x:c r="F15" s="28" t="str">
        <x:v>timestamps</x:v>
      </x:c>
      <x:c r="G15" s="28" t="str">
        <x:v>timestamps</x:v>
      </x:c>
      <x:c r="H15" s="28" t="str">
        <x:v>audit/lifecycle</x:v>
      </x:c>
      <x:c r="I15" s="28" t="str">
        <x:v>Operations update</x:v>
      </x:c>
      <x:c r="J15" s="28" t="str">
        <x:v>See schema/FKs</x:v>
      </x:c>
      <x:c r="K15" s="28" t="str">
        <x:v>See constraints/migrations</x:v>
      </x:c>
      <x:c r="L15" s="28" t="str">
        <x:v>RLS enabled; exact policy per table</x:v>
      </x:c>
      <x:c r="M15" s="28" t="str">
        <x:v>Audit/lifecycle triggers where configured</x:v>
      </x:c>
      <x:c r="N15" s="28" t="str">
        <x:v>Overdue warning</x:v>
      </x:c>
      <x:c r="O15" s="28" t="str">
        <x:v>Outside window/provider failure</x:v>
      </x:c>
      <x:c r="P15" s="28" t="str">
        <x:v>https://github.com/Vikram-Indla/Inspection/blob/ada62124c5f8c8066cec397dc70fab31be9b0c7d/apps/web/src/app/(app)/field/[visitId]/travel/page.tsx</x:v>
      </x:c>
      <x:c r="Q15" s="28" t="str"/>
      <x:c r="R15" s="28"/>
      <x:c r="S15" s="28" t="str">
        <x:v>Partial</x:v>
      </x:c>
    </x:row>
    <x:row r="16" ht="30" customHeight="1">
      <x:c r="A16" s="28" t="str">
        <x:v>JRN-INSPECTOR-TRAVEL-001</x:v>
      </x:c>
      <x:c r="B16" s="28" t="str">
        <x:v>JRN-INSPECTOR-TRAVEL-001-S02</x:v>
      </x:c>
      <x:c r="C16" s="28" t="str">
        <x:v>Location/evidence</x:v>
      </x:c>
      <x:c r="D16" s="28" t="str">
        <x:v>on_the_way</x:v>
      </x:c>
      <x:c r="E16" s="28"/>
      <x:c r="F16" s="28" t="str">
        <x:v>coordinates/status</x:v>
      </x:c>
      <x:c r="G16" s="28" t="str">
        <x:v>coordinates/status</x:v>
      </x:c>
      <x:c r="H16" s="28" t="str">
        <x:v>audit/lifecycle</x:v>
      </x:c>
      <x:c r="I16" s="28" t="str">
        <x:v>Operations update</x:v>
      </x:c>
      <x:c r="J16" s="28" t="str">
        <x:v>See schema/FKs</x:v>
      </x:c>
      <x:c r="K16" s="28" t="str">
        <x:v>See constraints/migrations</x:v>
      </x:c>
      <x:c r="L16" s="28" t="str">
        <x:v>RLS enabled; exact policy per table</x:v>
      </x:c>
      <x:c r="M16" s="28" t="str">
        <x:v>Audit/lifecycle triggers where configured</x:v>
      </x:c>
      <x:c r="N16" s="28" t="str">
        <x:v>Geo override</x:v>
      </x:c>
      <x:c r="O16" s="28" t="str">
        <x:v>Out of geofence</x:v>
      </x:c>
      <x:c r="P16" s="28" t="str">
        <x:v>https://github.com/Vikram-Indla/Inspection/blob/ada62124c5f8c8066cec397dc70fab31be9b0c7d/product-contract/seeding-discovery/CURRENT_DATA_QUALITY_REPORT.md</x:v>
      </x:c>
      <x:c r="Q16" s="28" t="str"/>
      <x:c r="R16" s="28"/>
      <x:c r="S16" s="28" t="str">
        <x:v>Partial</x:v>
      </x:c>
    </x:row>
    <x:row r="17" ht="30" customHeight="1">
      <x:c r="A17" s="28" t="str">
        <x:v>JRN-INSPECTOR-EXEC-001</x:v>
      </x:c>
      <x:c r="B17" s="28" t="str">
        <x:v>JRN-INSPECTOR-EXEC-001-S01</x:v>
      </x:c>
      <x:c r="C17" s="28" t="str">
        <x:v>Timestamp</x:v>
      </x:c>
      <x:c r="D17" s="28" t="str">
        <x:v>not_started</x:v>
      </x:c>
      <x:c r="E17" s="28"/>
      <x:c r="F17" s="28" t="str">
        <x:v>started_at,status</x:v>
      </x:c>
      <x:c r="G17" s="28" t="str">
        <x:v>started_at,status</x:v>
      </x:c>
      <x:c r="H17" s="28" t="str">
        <x:v>audit/lifecycle</x:v>
      </x:c>
      <x:c r="I17" s="28" t="str">
        <x:v>None</x:v>
      </x:c>
      <x:c r="J17" s="28" t="str">
        <x:v>See schema/FKs</x:v>
      </x:c>
      <x:c r="K17" s="28" t="str">
        <x:v>See constraints/migrations</x:v>
      </x:c>
      <x:c r="L17" s="28" t="str">
        <x:v>RLS enabled; exact policy per table</x:v>
      </x:c>
      <x:c r="M17" s="28" t="str">
        <x:v>Audit/lifecycle triggers where configured</x:v>
      </x:c>
      <x:c r="N17" s="28" t="str"/>
      <x:c r="O17" s="28" t="str">
        <x:v>Ineligible visit</x:v>
      </x:c>
      <x:c r="P17" s="28" t="str">
        <x:v>https://github.com/Vikram-Indla/Inspection/blob/ada62124c5f8c8066cec397dc70fab31be9b0c7d/apps/web/src/app/(app)/field/inspection/[id]/page.tsx</x:v>
      </x:c>
      <x:c r="Q17" s="28" t="str"/>
      <x:c r="R17" s="28"/>
      <x:c r="S17" s="28" t="str">
        <x:v>Partial</x:v>
      </x:c>
    </x:row>
    <x:row r="18" ht="30" customHeight="1">
      <x:c r="A18" s="28" t="str">
        <x:v>JRN-INSPECTOR-EXEC-001</x:v>
      </x:c>
      <x:c r="B18" s="28" t="str">
        <x:v>JRN-INSPECTOR-EXEC-001-S02</x:v>
      </x:c>
      <x:c r="C18" s="28" t="str">
        <x:v>Responses by item data type</x:v>
      </x:c>
      <x:c r="D18" s="28" t="str">
        <x:v>in_progress</x:v>
      </x:c>
      <x:c r="E18" s="28"/>
      <x:c r="F18" s="28" t="str">
        <x:v>answer fields</x:v>
      </x:c>
      <x:c r="G18" s="28" t="str">
        <x:v>answer fields</x:v>
      </x:c>
      <x:c r="H18" s="28" t="str">
        <x:v>audit where configured</x:v>
      </x:c>
      <x:c r="I18" s="28" t="str">
        <x:v>None</x:v>
      </x:c>
      <x:c r="J18" s="28" t="str">
        <x:v>See schema/FKs</x:v>
      </x:c>
      <x:c r="K18" s="28" t="str">
        <x:v>See constraints/migrations</x:v>
      </x:c>
      <x:c r="L18" s="28" t="str">
        <x:v>RLS enabled; exact policy per table</x:v>
      </x:c>
      <x:c r="M18" s="28" t="str">
        <x:v>Audit/lifecycle triggers where configured</x:v>
      </x:c>
      <x:c r="N18" s="28" t="str">
        <x:v>Draft/resume</x:v>
      </x:c>
      <x:c r="O18" s="28" t="str">
        <x:v>Validation failure</x:v>
      </x:c>
      <x:c r="P18" s="28" t="str">
        <x:v>https://github.com/Vikram-Indla/Inspection/blob/ada62124c5f8c8066cec397dc70fab31be9b0c7d/apps/web/src/app/(app)/field/inspection/[id]/page.tsx</x:v>
      </x:c>
      <x:c r="Q18" s="28" t="str"/>
      <x:c r="R18" s="28"/>
      <x:c r="S18" s="28" t="str">
        <x:v>Partial</x:v>
      </x:c>
    </x:row>
    <x:row r="19" ht="30" customHeight="1">
      <x:c r="A19" s="28" t="str">
        <x:v>JRN-INSPECTOR-EXEC-001</x:v>
      </x:c>
      <x:c r="B19" s="28" t="str">
        <x:v>JRN-INSPECTOR-EXEC-001-S03</x:v>
      </x:c>
      <x:c r="C19" s="28" t="str">
        <x:v>Conditional</x:v>
      </x:c>
      <x:c r="D19" s="28" t="str">
        <x:v>in_progress</x:v>
      </x:c>
      <x:c r="E19" s="28"/>
      <x:c r="F19" s="28" t="str">
        <x:v>in_progress</x:v>
      </x:c>
      <x:c r="G19" s="28" t="str">
        <x:v>in_progress</x:v>
      </x:c>
      <x:c r="H19" s="28" t="str">
        <x:v>Potential escalation</x:v>
      </x:c>
      <x:c r="I19" s="28" t="str">
        <x:v>Linked evidence/finding</x:v>
      </x:c>
      <x:c r="J19" s="28" t="str">
        <x:v>See schema/FKs</x:v>
      </x:c>
      <x:c r="K19" s="28" t="str">
        <x:v>See constraints/migrations</x:v>
      </x:c>
      <x:c r="L19" s="28" t="str">
        <x:v>RLS enabled; exact policy per table</x:v>
      </x:c>
      <x:c r="M19" s="28" t="str">
        <x:v>Audit/lifecycle triggers where configured</x:v>
      </x:c>
      <x:c r="N19" s="28" t="str">
        <x:v>Upload/integration failure</x:v>
      </x:c>
      <x:c r="O19" s="28" t="str">
        <x:v>Retry/remove/replace</x:v>
      </x:c>
      <x:c r="P19" s="28" t="str">
        <x:v>Medium</x:v>
      </x:c>
      <x:c r="Q19" s="28" t="str">
        <x:v>https://github.com/Vikram-Indla/Inspection/blob/ada62124c5f8c8066cec397dc70fab31be9b0c7d/apps/web/src/app/(app)/field/inspection/[id]/page.tsx</x:v>
      </x:c>
      <x:c r="R19" s="28"/>
      <x:c r="S19" s="28" t="str">
        <x:v>Partial</x:v>
      </x:c>
    </x:row>
    <x:row r="20" ht="30" customHeight="1">
      <x:c r="A20" s="28" t="str">
        <x:v>JRN-INSPECTOR-EXEC-001</x:v>
      </x:c>
      <x:c r="B20" s="28" t="str">
        <x:v>JRN-INSPECTOR-EXEC-001-S04</x:v>
      </x:c>
      <x:c r="C20" s="28" t="str">
        <x:v>Current responses</x:v>
      </x:c>
      <x:c r="D20" s="28" t="str">
        <x:v>in_progress</x:v>
      </x:c>
      <x:c r="E20" s="28"/>
      <x:c r="F20" s="28" t="str">
        <x:v>multiple</x:v>
      </x:c>
      <x:c r="G20" s="28" t="str">
        <x:v>multiple</x:v>
      </x:c>
      <x:c r="H20" s="28" t="str">
        <x:v>audit optional</x:v>
      </x:c>
      <x:c r="I20" s="28" t="str">
        <x:v>None</x:v>
      </x:c>
      <x:c r="J20" s="28" t="str">
        <x:v>See schema/FKs</x:v>
      </x:c>
      <x:c r="K20" s="28" t="str">
        <x:v>See constraints/migrations</x:v>
      </x:c>
      <x:c r="L20" s="28" t="str">
        <x:v>RLS enabled; exact policy per table</x:v>
      </x:c>
      <x:c r="M20" s="28" t="str">
        <x:v>Audit/lifecycle triggers where configured</x:v>
      </x:c>
      <x:c r="N20" s="28" t="str">
        <x:v>Refresh/relogin</x:v>
      </x:c>
      <x:c r="O20" s="28" t="str">
        <x:v>Conflict/stale data</x:v>
      </x:c>
      <x:c r="P20" s="28" t="str">
        <x:v>https://github.com/Vikram-Indla/Inspection/blob/ada62124c5f8c8066cec397dc70fab31be9b0c7d/apps/web/src/app/(app)/field/settings/conflicts/page.tsx</x:v>
      </x:c>
      <x:c r="Q20" s="28" t="str"/>
      <x:c r="R20" s="28"/>
      <x:c r="S20" s="28" t="str">
        <x:v>Partial</x:v>
      </x:c>
    </x:row>
    <x:row r="21" ht="30" customHeight="1">
      <x:c r="A21" s="28" t="str">
        <x:v>JRN-INSPECTOR-EXEC-001</x:v>
      </x:c>
      <x:c r="B21" s="28" t="str">
        <x:v>JRN-INSPECTOR-EXEC-001-S05</x:v>
      </x:c>
      <x:c r="C21" s="28" t="str">
        <x:v>Attestation/completeness</x:v>
      </x:c>
      <x:c r="D21" s="28" t="str">
        <x:v>in_progress</x:v>
      </x:c>
      <x:c r="E21" s="28"/>
      <x:c r="F21" s="28" t="str">
        <x:v>snapshot/status</x:v>
      </x:c>
      <x:c r="G21" s="28" t="str">
        <x:v>snapshot/status</x:v>
      </x:c>
      <x:c r="H21" s="28" t="str">
        <x:v>audit_events</x:v>
      </x:c>
      <x:c r="I21" s="28" t="str">
        <x:v>Reviewer queue</x:v>
      </x:c>
      <x:c r="J21" s="28" t="str">
        <x:v>See schema/FKs</x:v>
      </x:c>
      <x:c r="K21" s="28" t="str">
        <x:v>See constraints/migrations</x:v>
      </x:c>
      <x:c r="L21" s="28" t="str">
        <x:v>RLS enabled; exact policy per table</x:v>
      </x:c>
      <x:c r="M21" s="28" t="str">
        <x:v>Audit/lifecycle triggers where configured</x:v>
      </x:c>
      <x:c r="N21" s="28" t="str"/>
      <x:c r="O21" s="28" t="str">
        <x:v>Validation or duplicate submit</x:v>
      </x:c>
      <x:c r="P21" s="28" t="str">
        <x:v>https://github.com/Vikram-Indla/Inspection/blob/ada62124c5f8c8066cec397dc70fab31be9b0c7d/product-contract/seeding-discovery/CURRENT_DATA_QUALITY_REPORT.md</x:v>
      </x:c>
      <x:c r="Q21" s="28" t="str"/>
      <x:c r="R21" s="28"/>
      <x:c r="S21" s="28" t="str">
        <x:v>Partial</x:v>
      </x:c>
    </x:row>
    <x:row r="22" ht="30" customHeight="1">
      <x:c r="A22" s="28" t="str">
        <x:v>JRN-REVIEWER-DECIDE-001</x:v>
      </x:c>
      <x:c r="B22" s="28" t="str">
        <x:v>JRN-REVIEWER-DECIDE-001-S01</x:v>
      </x:c>
      <x:c r="C22" s="28" t="str">
        <x:v>Submission</x:v>
      </x:c>
      <x:c r="D22" s="28" t="str">
        <x:v>submitted</x:v>
      </x:c>
      <x:c r="E22" s="28"/>
      <x:c r="F22" s="28" t="str">
        <x:v>reviewer/status</x:v>
      </x:c>
      <x:c r="G22" s="28" t="str">
        <x:v>reviewer/status</x:v>
      </x:c>
      <x:c r="H22" s="28" t="str">
        <x:v>audit_events</x:v>
      </x:c>
      <x:c r="I22" s="28" t="str">
        <x:v>None</x:v>
      </x:c>
      <x:c r="J22" s="28" t="str">
        <x:v>See schema/FKs</x:v>
      </x:c>
      <x:c r="K22" s="28" t="str">
        <x:v>See constraints/migrations</x:v>
      </x:c>
      <x:c r="L22" s="28" t="str">
        <x:v>RLS enabled; exact policy per table</x:v>
      </x:c>
      <x:c r="M22" s="28" t="str">
        <x:v>Audit/lifecycle triggers where configured</x:v>
      </x:c>
      <x:c r="N22" s="28" t="str"/>
      <x:c r="O22" s="28" t="str">
        <x:v>Permission denied/stale</x:v>
      </x:c>
      <x:c r="P22" s="28" t="str">
        <x:v>https://github.com/Vikram-Indla/Inspection/blob/ada62124c5f8c8066cec397dc70fab31be9b0c7d/apps/web/src/app/(app)/reviews/page.tsx</x:v>
      </x:c>
      <x:c r="Q22" s="28" t="str">
        <x:v>SCR-003</x:v>
      </x:c>
      <x:c r="R22" s="28"/>
      <x:c r="S22" s="28" t="str">
        <x:v>Partial</x:v>
      </x:c>
    </x:row>
    <x:row r="23" ht="30" customHeight="1">
      <x:c r="A23" s="28" t="str">
        <x:v>JRN-REVIEWER-DECIDE-001</x:v>
      </x:c>
      <x:c r="B23" s="28" t="str">
        <x:v>JRN-REVIEWER-DECIDE-001-S02</x:v>
      </x:c>
      <x:c r="C23" s="28" t="str">
        <x:v>Decision reason and returned scope</x:v>
      </x:c>
      <x:c r="D23" s="28" t="str">
        <x:v>submitted</x:v>
      </x:c>
      <x:c r="E23" s="28"/>
      <x:c r="F23" s="28" t="str">
        <x:v>decision/status</x:v>
      </x:c>
      <x:c r="G23" s="28" t="str">
        <x:v>decision/status</x:v>
      </x:c>
      <x:c r="H23" s="28" t="str">
        <x:v>audit_events</x:v>
      </x:c>
      <x:c r="I23" s="28" t="str">
        <x:v>Inspector/compliance notice</x:v>
      </x:c>
      <x:c r="J23" s="28" t="str">
        <x:v>See schema/FKs</x:v>
      </x:c>
      <x:c r="K23" s="28" t="str">
        <x:v>See constraints/migrations</x:v>
      </x:c>
      <x:c r="L23" s="28" t="str">
        <x:v>RLS enabled; exact policy per table</x:v>
      </x:c>
      <x:c r="M23" s="28" t="str">
        <x:v>Audit/lifecycle triggers where configured</x:v>
      </x:c>
      <x:c r="N23" s="28" t="str">
        <x:v>Reject/return</x:v>
      </x:c>
      <x:c r="O23" s="28" t="str">
        <x:v>Stale version/self-approval</x:v>
      </x:c>
      <x:c r="P23" s="28" t="str">
        <x:v>https://github.com/Vikram-Indla/Inspection/blob/ada62124c5f8c8066cec397dc70fab31be9b0c7d/apps/web/src/app/(app)/reviews/[id]/VersionCompare.tsx</x:v>
      </x:c>
      <x:c r="Q23" s="28" t="str"/>
      <x:c r="R23" s="28"/>
      <x:c r="S23" s="28" t="str">
        <x:v>Partial</x:v>
      </x:c>
    </x:row>
    <x:row r="24" ht="30" customHeight="1">
      <x:c r="A24" s="28" t="str">
        <x:v>JRN-INSPECTOR-REWORK-001</x:v>
      </x:c>
      <x:c r="B24" s="28" t="str">
        <x:v>JRN-INSPECTOR-REWORK-001-S01</x:v>
      </x:c>
      <x:c r="C24" s="28" t="str">
        <x:v>Returned responses/evidence</x:v>
      </x:c>
      <x:c r="D24" s="28" t="str">
        <x:v>returned</x:v>
      </x:c>
      <x:c r="E24" s="28"/>
      <x:c r="F24" s="28" t="str">
        <x:v>version</x:v>
      </x:c>
      <x:c r="G24" s="28" t="str">
        <x:v>version</x:v>
      </x:c>
      <x:c r="H24" s="28" t="str">
        <x:v>audit_events</x:v>
      </x:c>
      <x:c r="I24" s="28" t="str">
        <x:v>Reviewer notice</x:v>
      </x:c>
      <x:c r="J24" s="28" t="str">
        <x:v>See schema/FKs</x:v>
      </x:c>
      <x:c r="K24" s="28" t="str">
        <x:v>See constraints/migrations</x:v>
      </x:c>
      <x:c r="L24" s="28" t="str">
        <x:v>RLS enabled; exact policy per table</x:v>
      </x:c>
      <x:c r="M24" s="28" t="str">
        <x:v>Audit/lifecycle triggers where configured</x:v>
      </x:c>
      <x:c r="N24" s="28" t="str"/>
      <x:c r="O24" s="28" t="str">
        <x:v>Stale/expanded edits</x:v>
      </x:c>
      <x:c r="P24" s="28" t="str">
        <x:v>https://github.com/Vikram-Indla/Inspection/blob/ada62124c5f8c8066cec397dc70fab31be9b0c7d/apps/web/src/app/(app)/reviews/[id]/VersionCompare.tsx</x:v>
      </x:c>
      <x:c r="Q24" s="28" t="str"/>
      <x:c r="R24" s="28"/>
      <x:c r="S24" s="28" t="str">
        <x:v>Partial</x:v>
      </x:c>
    </x:row>
    <x:row r="25" ht="30" customHeight="1">
      <x:c r="A25" s="28" t="str">
        <x:v>JRN-COMPLIANCE-CASE-001</x:v>
      </x:c>
      <x:c r="B25" s="28" t="str">
        <x:v>JRN-COMPLIANCE-CASE-001-S01</x:v>
      </x:c>
      <x:c r="C25" s="28" t="str">
        <x:v>Case type</x:v>
      </x:c>
      <x:c r="D25" s="28" t="str">
        <x:v>none</x:v>
      </x:c>
      <x:c r="E25" s="28"/>
      <x:c r="F25" s="28" t="str">
        <x:v>origin,status,type</x:v>
      </x:c>
      <x:c r="G25" s="28" t="str">
        <x:v>origin,status,type</x:v>
      </x:c>
      <x:c r="H25" s="28" t="str">
        <x:v>audit</x:v>
      </x:c>
      <x:c r="I25" s="28" t="str">
        <x:v>Owner notice not proven</x:v>
      </x:c>
      <x:c r="J25" s="28" t="str">
        <x:v>See schema/FKs</x:v>
      </x:c>
      <x:c r="K25" s="28" t="str">
        <x:v>See constraints/migrations</x:v>
      </x:c>
      <x:c r="L25" s="28" t="str">
        <x:v>RLS enabled; exact policy per table</x:v>
      </x:c>
      <x:c r="M25" s="28" t="str">
        <x:v>Audit/lifecycle triggers where configured</x:v>
      </x:c>
      <x:c r="N25" s="28" t="str">
        <x:v>JRN-CA-RESPOND-001</x:v>
      </x:c>
      <x:c r="O25" s="28" t="str">
        <x:v>Duplicate/permission denied</x:v>
      </x:c>
      <x:c r="P25" s="28" t="str">
        <x:v>https://github.com/Vikram-Indla/Inspection/blob/ada62124c5f8c8066cec397dc70fab31be9b0c7d/apps/web/src/app/(app)/cases/actions.ts</x:v>
      </x:c>
      <x:c r="Q25" s="28" t="str"/>
      <x:c r="R25" s="28"/>
      <x:c r="S25" s="28" t="str">
        <x:v>Partial</x:v>
      </x:c>
    </x:row>
    <x:row r="26" ht="30" customHeight="1">
      <x:c r="A26" s="28" t="str">
        <x:v>JRN-EXEC-DASH-001</x:v>
      </x:c>
      <x:c r="B26" s="28" t="str">
        <x:v>JRN-EXEC-DASH-001-S01</x:v>
      </x:c>
      <x:c r="C26" s="28" t="str">
        <x:v>None</x:v>
      </x:c>
      <x:c r="D26" s="28" t="str">
        <x:v>approved</x:v>
      </x:c>
      <x:c r="E26" s="28"/>
      <x:c r="F26" s="28" t="str">
        <x:v>multiple</x:v>
      </x:c>
      <x:c r="G26" s="28" t="str">
        <x:v>multiple</x:v>
      </x:c>
      <x:c r="H26" s="28" t="str">
        <x:v>None</x:v>
      </x:c>
      <x:c r="I26" s="28" t="str">
        <x:v>None</x:v>
      </x:c>
      <x:c r="J26" s="28" t="str">
        <x:v>See schema/FKs</x:v>
      </x:c>
      <x:c r="K26" s="28" t="str">
        <x:v>See constraints/migrations</x:v>
      </x:c>
      <x:c r="L26" s="28" t="str">
        <x:v>RLS enabled; exact policy per table</x:v>
      </x:c>
      <x:c r="M26" s="28" t="str">
        <x:v>Audit/lifecycle triggers where configured</x:v>
      </x:c>
      <x:c r="N26" s="28" t="str"/>
      <x:c r="O26" s="28" t="str">
        <x:v>Unavailable KPI</x:v>
      </x:c>
      <x:c r="P26" s="28" t="str">
        <x:v>https://github.com/Vikram-Indla/Inspection/blob/ada62124c5f8c8066cec397dc70fab31be9b0c7d/product-contract/seeding-discovery/CURRENT_DATA_QUALITY_REPORT.md</x:v>
      </x:c>
      <x:c r="Q26" s="28" t="str"/>
      <x:c r="R26" s="28"/>
      <x:c r="S26" s="28" t="str">
        <x:v>Partial</x:v>
      </x:c>
    </x:row>
    <x:row r="27" ht="30" customHeight="1">
      <x:c r="A27" s="28" t="str">
        <x:v>JRN-SYSTEM-NOTIFY-001</x:v>
      </x:c>
      <x:c r="B27" s="28" t="str">
        <x:v>JRN-SYSTEM-NOTIFY-001-S01</x:v>
      </x:c>
      <x:c r="C27" s="28" t="str">
        <x:v>Recipient/channel/payload</x:v>
      </x:c>
      <x:c r="D27" s="28" t="str">
        <x:v>none</x:v>
      </x:c>
      <x:c r="E27" s="28"/>
      <x:c r="F27" s="28" t="str">
        <x:v>status/attempts</x:v>
      </x:c>
      <x:c r="G27" s="28" t="str">
        <x:v>status/attempts</x:v>
      </x:c>
      <x:c r="H27" s="28" t="str">
        <x:v>audit/provider receipts</x:v>
      </x:c>
      <x:c r="I27" s="28" t="str">
        <x:v>Recipient channel</x:v>
      </x:c>
      <x:c r="J27" s="28" t="str">
        <x:v>See schema/FKs</x:v>
      </x:c>
      <x:c r="K27" s="28" t="str">
        <x:v>See constraints/migrations</x:v>
      </x:c>
      <x:c r="L27" s="28" t="str">
        <x:v>RLS enabled; exact policy per table</x:v>
      </x:c>
      <x:c r="M27" s="28" t="str">
        <x:v>Audit/lifecycle triggers where configured</x:v>
      </x:c>
      <x:c r="N27" s="28" t="str"/>
      <x:c r="O27" s="28" t="str">
        <x:v>Provider failure</x:v>
      </x:c>
      <x:c r="P27" s="28" t="str">
        <x:v>https://github.com/Vikram-Indla/Inspection/blob/ada62124c5f8c8066cec397dc70fab31be9b0c7d/product-contract/seeding-discovery/CURRENT_DATA_QUALITY_REPORT.md</x:v>
      </x:c>
      <x:c r="Q27" s="28" t="str"/>
      <x:c r="R27" s="28"/>
      <x:c r="S27" s="28" t="str">
        <x:v>Partial</x:v>
      </x:c>
    </x:row>
    <x:row r="28" ht="30" customHeight="1">
      <x:c r="A28" s="28" t="str">
        <x:v>JRN-SYSTEM-INTEGRATE-001</x:v>
      </x:c>
      <x:c r="B28" s="28" t="str">
        <x:v>JRN-SYSTEM-INTEGRATE-001-S01</x:v>
      </x:c>
      <x:c r="C28" s="28" t="str">
        <x:v>Task/governance ref/multipart payload</x:v>
      </x:c>
      <x:c r="D28" s="28" t="str">
        <x:v>submitted</x:v>
      </x:c>
      <x:c r="E28" s="28"/>
      <x:c r="F28" s="28" t="str">
        <x:v>status</x:v>
      </x:c>
      <x:c r="G28" s="28" t="str">
        <x:v>status</x:v>
      </x:c>
      <x:c r="H28" s="28" t="str">
        <x:v>audit/provider result</x:v>
      </x:c>
      <x:c r="I28" s="28" t="str">
        <x:v>None</x:v>
      </x:c>
      <x:c r="J28" s="28" t="str">
        <x:v>See schema/FKs</x:v>
      </x:c>
      <x:c r="K28" s="28" t="str">
        <x:v>See constraints/migrations</x:v>
      </x:c>
      <x:c r="L28" s="28" t="str">
        <x:v>RLS enabled; exact policy per table</x:v>
      </x:c>
      <x:c r="M28" s="28" t="str">
        <x:v>Audit/lifecycle triggers where configured</x:v>
      </x:c>
      <x:c r="N28" s="28" t="str"/>
      <x:c r="O28" s="28" t="str">
        <x:v>Provider/trigger failure</x:v>
      </x:c>
      <x:c r="P28" s="28" t="str">
        <x:v>https://github.com/Vikram-Indla/Inspection/blob/ada62124c5f8c8066cec397dc70fab31be9b0c7d/apps/web/src/lib/integrations/senaei/adapters/inspection-submission.ts</x:v>
      </x:c>
      <x:c r="Q28" s="28" t="str"/>
      <x:c r="R28" s="28"/>
      <x:c r="S28" s="28" t="str">
        <x:v>Partial</x:v>
      </x:c>
    </x:row>
  </x:sheetData>
  <x:mergeCells>
    <x:mergeCell ref="A1:S1"/>
  </x:mergeCells>
  <x:pageMargins left="0.7" right="0.7" top="0.75" bottom="0.75" header="0.3" footer="0.3"/>
  <x:tableParts count="1">
    <x:tablePart xmlns:r="http://schemas.openxmlformats.org/officeDocument/2006/relationships" r:id="Rc475f38260e8474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3" hidden="0" customWidth="1"/>
    <x:col min="2" max="2" width="22" hidden="0" customWidth="1"/>
    <x:col min="3" max="3" width="25" hidden="0" customWidth="1"/>
    <x:col min="4" max="4" width="22" hidden="0" customWidth="1"/>
    <x:col min="5" max="5" width="15" hidden="0" customWidth="1"/>
    <x:col min="6" max="6" width="12" hidden="0" customWidth="1"/>
    <x:col min="7" max="7" width="18" hidden="0" customWidth="1"/>
    <x:col min="8" max="8" width="15" hidden="0" customWidth="1"/>
    <x:col min="9" max="9" width="23" hidden="0" customWidth="1"/>
    <x:col min="10" max="10" width="13" hidden="0" customWidth="1"/>
    <x:col min="11" max="11" width="19" hidden="0" customWidth="1"/>
    <x:col min="12" max="12" width="26" hidden="0" customWidth="1"/>
    <x:col min="13" max="13" width="21" hidden="0" customWidth="1"/>
    <x:col min="14" max="14" width="29" hidden="0" customWidth="1"/>
    <x:col min="15" max="15" width="14" hidden="0" customWidth="1"/>
    <x:col min="16" max="16" width="12" hidden="0" customWidth="1"/>
  </x:cols>
  <x:sheetData>
    <x:row r="1" ht="30" customHeight="1">
      <x:c r="A1" s="24" t="str">
        <x:v>08 ADMIN PREREQUISITES</x:v>
      </x:c>
      <x:c r="B1" s="25"/>
      <x:c r="C1" s="25"/>
      <x:c r="D1" s="25"/>
      <x:c r="E1" s="25"/>
      <x:c r="F1" s="25"/>
      <x:c r="G1" s="25"/>
      <x:c r="H1" s="25"/>
      <x:c r="I1" s="25"/>
      <x:c r="J1" s="25"/>
      <x:c r="K1" s="25"/>
      <x:c r="L1" s="25"/>
      <x:c r="M1" s="25"/>
      <x:c r="N1" s="25"/>
      <x:c r="O1" s="25"/>
      <x:c r="P1" s="25"/>
    </x:row>
    <x:row r="2" ht="30" customHeight="1">
      <x:c r="A2" s="26" t="str">
        <x:v>Audit snapshot · 2026-07-30 (Asia/Riyadh) · commit ada62124</x:v>
      </x:c>
      <x:c r="B2" s="26" t="str"/>
      <x:c r="C2" s="26" t="str"/>
      <x:c r="D2" s="26" t="str"/>
      <x:c r="E2" s="26" t="str"/>
      <x:c r="F2" s="26" t="str"/>
      <x:c r="G2" s="26" t="str"/>
      <x:c r="H2" s="26" t="str"/>
      <x:c r="I2" s="26" t="str"/>
      <x:c r="J2" s="26" t="str"/>
      <x:c r="K2" s="26" t="str"/>
      <x:c r="L2" s="26" t="str"/>
      <x:c r="M2" s="26" t="str"/>
      <x:c r="N2" s="26" t="str"/>
      <x:c r="O2" s="26" t="str"/>
      <x:c r="P2" s="26" t="str"/>
    </x:row>
    <x:row r="3" ht="30" customHeight="1">
      <x:c r="A3" s="25"/>
      <x:c r="B3" s="25"/>
      <x:c r="C3" s="25"/>
      <x:c r="D3" s="25"/>
      <x:c r="E3" s="25"/>
      <x:c r="F3" s="25"/>
      <x:c r="G3" s="25"/>
      <x:c r="H3" s="25"/>
      <x:c r="I3" s="25"/>
      <x:c r="J3" s="25"/>
      <x:c r="K3" s="25"/>
      <x:c r="L3" s="25"/>
      <x:c r="M3" s="25"/>
      <x:c r="N3" s="25"/>
      <x:c r="O3" s="25"/>
      <x:c r="P3" s="25"/>
    </x:row>
    <x:row r="4" ht="30" customHeight="1">
      <x:c r="A4" s="27" t="str">
        <x:v>Journey ID</x:v>
      </x:c>
      <x:c r="B4" s="27" t="str">
        <x:v>Operational persona</x:v>
      </x:c>
      <x:c r="C4" s="27" t="str">
        <x:v>Required configuration</x:v>
      </x:c>
      <x:c r="D4" s="27" t="str">
        <x:v>Configuration owner</x:v>
      </x:c>
      <x:c r="E4" s="27" t="str">
        <x:v>Admin screen</x:v>
      </x:c>
      <x:c r="F4" s="27" t="str">
        <x:v>Route</x:v>
      </x:c>
      <x:c r="G4" s="27" t="str">
        <x:v>Required fields</x:v>
      </x:c>
      <x:c r="H4" s="27" t="str">
        <x:v>Source table</x:v>
      </x:c>
      <x:c r="I4" s="27" t="str">
        <x:v>Configuration status</x:v>
      </x:c>
      <x:c r="J4" s="27" t="str">
        <x:v>Validation</x:v>
      </x:c>
      <x:c r="K4" s="27" t="str">
        <x:v>Dependency order</x:v>
      </x:c>
      <x:c r="L4" s="27" t="str">
        <x:v>What happens if missing</x:v>
      </x:c>
      <x:c r="M4" s="27" t="str">
        <x:v>User-visible error</x:v>
      </x:c>
      <x:c r="N4" s="27" t="str">
        <x:v>Actual behavior if missing</x:v>
      </x:c>
      <x:c r="O4" s="27" t="str">
        <x:v>Remediation</x:v>
      </x:c>
      <x:c r="P4" s="27" t="str">
        <x:v>Evidence</x:v>
      </x:c>
    </x:row>
    <x:row r="5" ht="30" customHeight="1">
      <x:c r="A5" s="28" t="str">
        <x:v>JRN-PLANNER-SINGLE-001</x:v>
      </x:c>
      <x:c r="B5" s="28" t="str">
        <x:v>Planner</x:v>
      </x:c>
      <x:c r="C5" s="28" t="str">
        <x:v>Verified planner identity and capabilities</x:v>
      </x:c>
      <x:c r="D5" s="28" t="str">
        <x:v>Identity/Admin</x:v>
      </x:c>
      <x:c r="E5" s="28" t="str">
        <x:v>/admin/access</x:v>
      </x:c>
      <x:c r="F5" s="28" t="str">
        <x:v>/admin/access</x:v>
      </x:c>
      <x:c r="G5" s="28" t="str">
        <x:v>Identity, scope, roles</x:v>
      </x:c>
      <x:c r="H5" s="28" t="str">
        <x:v>profiles/user_roles/capabilities</x:v>
      </x:c>
      <x:c r="I5" s="28" t="str">
        <x:v>BLOCKED</x:v>
      </x:c>
      <x:c r="J5" s="28" t="str">
        <x:v>Unique identity; effective capability</x:v>
      </x:c>
      <x:c r="K5" s="28" t="str">
        <x:v>1</x:v>
      </x:c>
      <x:c r="L5" s="28" t="str">
        <x:v>Cannot authenticate</x:v>
      </x:c>
      <x:c r="M5" s="28" t="str">
        <x:v>Sign-in/guard error</x:v>
      </x:c>
      <x:c r="N5" s="28" t="str">
        <x:v>Directory contract absent</x:v>
      </x:c>
      <x:c r="O5" s="28" t="str">
        <x:v>Provide safe persona</x:v>
      </x:c>
      <x:c r="P5" s="28" t="str">
        <x:v>SCR-001;BP-001</x:v>
      </x:c>
    </x:row>
    <x:row r="6" ht="30" customHeight="1">
      <x:c r="A6" s="28" t="str">
        <x:v>JRN-PLANNER-SINGLE-001</x:v>
      </x:c>
      <x:c r="B6" s="28" t="str">
        <x:v>Planner</x:v>
      </x:c>
      <x:c r="C6" s="28" t="str">
        <x:v>Canonical factory/licence/CR/plant and confirmed location</x:v>
      </x:c>
      <x:c r="D6" s="28" t="str">
        <x:v>Master data admin/integration</x:v>
      </x:c>
      <x:c r="E6" s="28" t="str">
        <x:v>Factory data integration</x:v>
      </x:c>
      <x:c r="F6" s="28" t="str">
        <x:v>/admin/integrations/factory-data</x:v>
      </x:c>
      <x:c r="G6" s="28" t="str">
        <x:v>Official identity/status/coordinates</x:v>
      </x:c>
      <x:c r="H6" s="28" t="str">
        <x:v>factories;industrial_licenses;commercial_registrations;plant_addresses</x:v>
      </x:c>
      <x:c r="I6" s="28" t="str">
        <x:v>PARTIAL</x:v>
      </x:c>
      <x:c r="J6" s="28" t="str">
        <x:v>Canonical provenance</x:v>
      </x:c>
      <x:c r="K6" s="28" t="str">
        <x:v>2</x:v>
      </x:c>
      <x:c r="L6" s="28" t="str">
        <x:v>Target invalid/unavailable</x:v>
      </x:c>
      <x:c r="M6" s="28" t="str">
        <x:v>Unavailable/blocked state</x:v>
      </x:c>
      <x:c r="N6" s="28" t="str">
        <x:v>Master data sparse</x:v>
      </x:c>
      <x:c r="O6" s="28" t="str">
        <x:v>Backfill with provenance</x:v>
      </x:c>
      <x:c r="P6" s="28" t="str">
        <x:v>DQ-007..010;BP-005</x:v>
      </x:c>
    </x:row>
    <x:row r="7" ht="30" customHeight="1">
      <x:c r="A7" s="28" t="str">
        <x:v>JRN-PLANNER-SINGLE-001</x:v>
      </x:c>
      <x:c r="B7" s="28" t="str">
        <x:v>Planner</x:v>
      </x:c>
      <x:c r="C7" s="28" t="str">
        <x:v>Published package/checklist version</x:v>
      </x:c>
      <x:c r="D7" s="28" t="str">
        <x:v>Compliance Administrator</x:v>
      </x:c>
      <x:c r="E7" s="28" t="str">
        <x:v>Packages/items</x:v>
      </x:c>
      <x:c r="F7" s="28" t="str">
        <x:v>/admin/packages</x:v>
      </x:c>
      <x:c r="G7" s="28" t="str">
        <x:v>Active immutable versions</x:v>
      </x:c>
      <x:c r="H7" s="28" t="str">
        <x:v>packages;package_versions;inspection_items</x:v>
      </x:c>
      <x:c r="I7" s="28" t="str">
        <x:v>UNVERIFIED</x:v>
      </x:c>
      <x:c r="J7" s="28" t="str">
        <x:v>Dependency complete</x:v>
      </x:c>
      <x:c r="K7" s="28" t="str">
        <x:v>3</x:v>
      </x:c>
      <x:c r="L7" s="28" t="str">
        <x:v>Preparation required or publish blocked</x:v>
      </x:c>
      <x:c r="M7" s="28" t="str">
        <x:v>Cannot confirm</x:v>
      </x:c>
      <x:c r="N7" s="28" t="str">
        <x:v>Runtime blocked</x:v>
      </x:c>
      <x:c r="O7" s="28" t="str">
        <x:v>Execute maker-checker fixture</x:v>
      </x:c>
      <x:c r="P7" s="28" t="str">
        <x:v>BP-003</x:v>
      </x:c>
    </x:row>
    <x:row r="8" ht="30" customHeight="1">
      <x:c r="A8" s="28" t="str">
        <x:v>JRN-PLANNER-SINGLE-001</x:v>
      </x:c>
      <x:c r="B8" s="28" t="str">
        <x:v>Planner</x:v>
      </x:c>
      <x:c r="C8" s="28" t="str">
        <x:v>Planning lookups, expiry and execution settings</x:v>
      </x:c>
      <x:c r="D8" s="28" t="str">
        <x:v>Administrator</x:v>
      </x:c>
      <x:c r="E8" s="28" t="str">
        <x:v>Planning/execution config</x:v>
      </x:c>
      <x:c r="F8" s="28" t="str">
        <x:v>/admin/planning/lookups; /admin/execution</x:v>
      </x:c>
      <x:c r="G8" s="28" t="str">
        <x:v>Governed values</x:v>
      </x:c>
      <x:c r="H8" s="28" t="str">
        <x:v>planning_lookups;planning_expiry_rules;engine_settings</x:v>
      </x:c>
      <x:c r="I8" s="28" t="str">
        <x:v>UNVERIFIED</x:v>
      </x:c>
      <x:c r="J8" s="28" t="str">
        <x:v>Published version</x:v>
      </x:c>
      <x:c r="K8" s="28" t="str">
        <x:v>4</x:v>
      </x:c>
      <x:c r="L8" s="28" t="str">
        <x:v>Validation unavailable</x:v>
      </x:c>
      <x:c r="M8" s="28" t="str">
        <x:v>Not configured</x:v>
      </x:c>
      <x:c r="N8" s="28" t="str">
        <x:v>Runtime blocked</x:v>
      </x:c>
      <x:c r="O8" s="28" t="str">
        <x:v>Verify active versions</x:v>
      </x:c>
      <x:c r="P8" s="28" t="str">
        <x:v>BP-004</x:v>
      </x:c>
    </x:row>
    <x:row r="9" ht="30" customHeight="1">
      <x:c r="A9" s="28" t="str">
        <x:v>JRN-PLANNER-SINGLE-001</x:v>
      </x:c>
      <x:c r="B9" s="28" t="str">
        <x:v>Planner</x:v>
      </x:c>
      <x:c r="C9" s="28" t="str">
        <x:v>Eligible inspector with capacity and scope</x:v>
      </x:c>
      <x:c r="D9" s="28" t="str">
        <x:v>Identity/Admin</x:v>
      </x:c>
      <x:c r="E9" s="28" t="str">
        <x:v>Access</x:v>
      </x:c>
      <x:c r="F9" s="28" t="str">
        <x:v>/admin/access</x:v>
      </x:c>
      <x:c r="G9" s="28" t="str">
        <x:v>Role, region/org scope, availability</x:v>
      </x:c>
      <x:c r="H9" s="28" t="str">
        <x:v>profiles;user_roles;assignments</x:v>
      </x:c>
      <x:c r="I9" s="28" t="str">
        <x:v>PARTIAL</x:v>
      </x:c>
      <x:c r="J9" s="28" t="str">
        <x:v>Overlap/capacity validation</x:v>
      </x:c>
      <x:c r="K9" s="28" t="str">
        <x:v>5</x:v>
      </x:c>
      <x:c r="L9" s="28" t="str">
        <x:v>No assignment/publish blocked</x:v>
      </x:c>
      <x:c r="M9" s="28" t="str">
        <x:v>No eligible inspector</x:v>
      </x:c>
      <x:c r="N9" s="28" t="str">
        <x:v>Test personas contaminated</x:v>
      </x:c>
      <x:c r="O9" s="28" t="str">
        <x:v>Provide clean fixtures</x:v>
      </x:c>
      <x:c r="P9" s="28" t="str">
        <x:v>DQ-001/DQ-002;BP-001</x:v>
      </x:c>
    </x:row>
    <x:row r="10" ht="30" customHeight="1">
      <x:c r="A10" s="28" t="str">
        <x:v>JRN-INSPECTOR-EXEC-001</x:v>
      </x:c>
      <x:c r="B10" s="28" t="str">
        <x:v>Inspector</x:v>
      </x:c>
      <x:c r="C10" s="28" t="str">
        <x:v>Exactly one published visit and assignment</x:v>
      </x:c>
      <x:c r="D10" s="28" t="str">
        <x:v>Planner</x:v>
      </x:c>
      <x:c r="E10" s="28" t="str">
        <x:v>Single planner</x:v>
      </x:c>
      <x:c r="F10" s="28" t="str">
        <x:v>/planning/single</x:v>
      </x:c>
      <x:c r="G10" s="28" t="str">
        <x:v>Window, target, mode, inspector</x:v>
      </x:c>
      <x:c r="H10" s="28" t="str">
        <x:v>visit_plans;visits;assignments</x:v>
      </x:c>
      <x:c r="I10" s="28" t="str">
        <x:v>UNVERIFIED</x:v>
      </x:c>
      <x:c r="J10" s="28" t="str">
        <x:v>Atomic/idempotent</x:v>
      </x:c>
      <x:c r="K10" s="28" t="str">
        <x:v>6</x:v>
      </x:c>
      <x:c r="L10" s="28" t="str">
        <x:v>Inspector sees no executable visit</x:v>
      </x:c>
      <x:c r="M10" s="28" t="str">
        <x:v>Missing assignment</x:v>
      </x:c>
      <x:c r="N10" s="28" t="str">
        <x:v>Atomicity risk</x:v>
      </x:c>
      <x:c r="O10" s="28" t="str">
        <x:v>Fix publish transaction</x:v>
      </x:c>
      <x:c r="P10" s="28" t="str">
        <x:v>BP-006</x:v>
      </x:c>
    </x:row>
    <x:row r="11" ht="30" customHeight="1">
      <x:c r="A11" s="28" t="str">
        <x:v>JRN-INSPECTOR-EXEC-001</x:v>
      </x:c>
      <x:c r="B11" s="28" t="str">
        <x:v>Inspector</x:v>
      </x:c>
      <x:c r="C11" s="28" t="str">
        <x:v>Preparation completed</x:v>
      </x:c>
      <x:c r="D11" s="28" t="str">
        <x:v>Inspector</x:v>
      </x:c>
      <x:c r="E11" s="28" t="str">
        <x:v>Visit preparation</x:v>
      </x:c>
      <x:c r="F11" s="28" t="str">
        <x:v>/field/[visitId]</x:v>
      </x:c>
      <x:c r="G11" s="28" t="str">
        <x:v>Execution date/mode/package</x:v>
      </x:c>
      <x:c r="H11" s="28" t="str">
        <x:v>visit_preparations;visit_packages</x:v>
      </x:c>
      <x:c r="I11" s="28" t="str">
        <x:v>BLOCKED</x:v>
      </x:c>
      <x:c r="J11" s="28" t="str">
        <x:v>Window/config eligibility</x:v>
      </x:c>
      <x:c r="K11" s="28" t="str">
        <x:v>7</x:v>
      </x:c>
      <x:c r="L11" s="28" t="str">
        <x:v>Start blocked</x:v>
      </x:c>
      <x:c r="M11" s="28" t="str">
        <x:v>Guided blocker expected</x:v>
      </x:c>
      <x:c r="N11" s="28" t="str">
        <x:v>Authentication blocked</x:v>
      </x:c>
      <x:c r="O11" s="28" t="str">
        <x:v>Provide safe inspector runtime</x:v>
      </x:c>
      <x:c r="P11" s="28" t="str">
        <x:v>BP-009</x:v>
      </x:c>
    </x:row>
  </x:sheetData>
  <x:mergeCells>
    <x:mergeCell ref="A1:P1"/>
  </x:mergeCells>
  <x:pageMargins left="0.7" right="0.7" top="0.75" bottom="0.75" header="0.3" footer="0.3"/>
  <x:tableParts count="1">
    <x:tablePart xmlns:r="http://schemas.openxmlformats.org/officeDocument/2006/relationships" r:id="Rbef0d2fcc5584587"/>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2" hidden="0" customWidth="1"/>
    <x:col min="2" max="2" width="16" hidden="0" customWidth="1"/>
    <x:col min="3" max="3" width="22" hidden="0" customWidth="1"/>
    <x:col min="4" max="4" width="20" hidden="0" customWidth="1"/>
    <x:col min="5" max="5" width="21" hidden="0" customWidth="1"/>
    <x:col min="6" max="6" width="22" hidden="0" customWidth="1"/>
    <x:col min="7" max="7" width="13" hidden="0" customWidth="1"/>
    <x:col min="8" max="8" width="19" hidden="0" customWidth="1"/>
    <x:col min="9" max="9" width="15" hidden="0" customWidth="1"/>
    <x:col min="10" max="10" width="15" hidden="0" customWidth="1"/>
    <x:col min="11" max="11" width="14" hidden="0" customWidth="1"/>
    <x:col min="12" max="12" width="30" hidden="0" customWidth="1"/>
    <x:col min="13" max="13" width="13" hidden="0" customWidth="1"/>
    <x:col min="14" max="14" width="12" hidden="0" customWidth="1"/>
    <x:col min="15" max="15" width="19" hidden="0" customWidth="1"/>
  </x:cols>
  <x:sheetData>
    <x:row r="1" ht="30" customHeight="1">
      <x:c r="A1" s="24" t="str">
        <x:v>09 LIFECYCLE STATE MATRIX</x:v>
      </x:c>
      <x:c r="B1" s="25"/>
      <x:c r="C1" s="25"/>
      <x:c r="D1" s="25"/>
      <x:c r="E1" s="25"/>
      <x:c r="F1" s="25"/>
      <x:c r="G1" s="25"/>
      <x:c r="H1" s="25"/>
      <x:c r="I1" s="25"/>
      <x:c r="J1" s="25"/>
      <x:c r="K1" s="25"/>
      <x:c r="L1" s="25"/>
      <x:c r="M1" s="25"/>
      <x:c r="N1" s="25"/>
      <x:c r="O1" s="25"/>
    </x:row>
    <x:row r="2" ht="30" customHeight="1">
      <x:c r="A2" s="26" t="str">
        <x:v>Audit snapshot · 2026-07-30 (Asia/Riyadh) · commit ada62124</x:v>
      </x:c>
      <x:c r="B2" s="26" t="str"/>
      <x:c r="C2" s="26" t="str"/>
      <x:c r="D2" s="26" t="str"/>
      <x:c r="E2" s="26" t="str"/>
      <x:c r="F2" s="26" t="str"/>
      <x:c r="G2" s="26" t="str"/>
      <x:c r="H2" s="26" t="str"/>
      <x:c r="I2" s="26" t="str"/>
      <x:c r="J2" s="26" t="str"/>
      <x:c r="K2" s="26" t="str"/>
      <x:c r="L2" s="26" t="str"/>
      <x:c r="M2" s="26" t="str"/>
      <x:c r="N2" s="26" t="str"/>
      <x:c r="O2" s="26" t="str"/>
    </x:row>
    <x:row r="3" ht="30" customHeight="1">
      <x:c r="A3" s="25"/>
      <x:c r="B3" s="25"/>
      <x:c r="C3" s="25"/>
      <x:c r="D3" s="25"/>
      <x:c r="E3" s="25"/>
      <x:c r="F3" s="25"/>
      <x:c r="G3" s="25"/>
      <x:c r="H3" s="25"/>
      <x:c r="I3" s="25"/>
      <x:c r="J3" s="25"/>
      <x:c r="K3" s="25"/>
      <x:c r="L3" s="25"/>
      <x:c r="M3" s="25"/>
      <x:c r="N3" s="25"/>
      <x:c r="O3" s="25"/>
    </x:row>
    <x:row r="4" ht="30" customHeight="1">
      <x:c r="A4" s="27" t="str">
        <x:v>Object</x:v>
      </x:c>
      <x:c r="B4" s="27" t="str">
        <x:v>Current state</x:v>
      </x:c>
      <x:c r="C4" s="27" t="str">
        <x:v>Allowed next states</x:v>
      </x:c>
      <x:c r="D4" s="27" t="str">
        <x:v>Triggering action</x:v>
      </x:c>
      <x:c r="E4" s="27" t="str">
        <x:v>Authorized persona</x:v>
      </x:c>
      <x:c r="F4" s="27" t="str">
        <x:v>Required conditions</x:v>
      </x:c>
      <x:c r="G4" s="27" t="str">
        <x:v>UI control</x:v>
      </x:c>
      <x:c r="H4" s="27" t="str">
        <x:v>Backend mutation</x:v>
      </x:c>
      <x:c r="I4" s="27" t="str">
        <x:v>Status field</x:v>
      </x:c>
      <x:c r="J4" s="27" t="str">
        <x:v>Notification</x:v>
      </x:c>
      <x:c r="K4" s="27" t="str">
        <x:v>Audit event</x:v>
      </x:c>
      <x:c r="L4" s="27" t="str">
        <x:v>Invalid transition behavior</x:v>
      </x:c>
      <x:c r="M4" s="27" t="str">
        <x:v>Reachable?</x:v>
      </x:c>
      <x:c r="N4" s="27" t="str">
        <x:v>Verified?</x:v>
      </x:c>
      <x:c r="O4" s="27" t="str">
        <x:v>Related journeys</x:v>
      </x:c>
    </x:row>
    <x:row r="5" ht="30" customHeight="1">
      <x:c r="A5" s="28" t="str">
        <x:v>Visit plan</x:v>
      </x:c>
      <x:c r="B5" s="28" t="str">
        <x:v>draft</x:v>
      </x:c>
      <x:c r="C5" s="28" t="str">
        <x:v>validated; published</x:v>
      </x:c>
      <x:c r="D5" s="28" t="str">
        <x:v>Validate/publish</x:v>
      </x:c>
      <x:c r="E5" s="28" t="str">
        <x:v>Planner</x:v>
      </x:c>
      <x:c r="F5" s="28" t="str">
        <x:v>Valid target/window/config</x:v>
      </x:c>
      <x:c r="G5" s="28" t="str">
        <x:v>Planning actions</x:v>
      </x:c>
      <x:c r="H5" s="28" t="str">
        <x:v>publish command</x:v>
      </x:c>
      <x:c r="I5" s="28" t="str">
        <x:v>visit_plans.status</x:v>
      </x:c>
      <x:c r="J5" s="28" t="str">
        <x:v>Queue on publish</x:v>
      </x:c>
      <x:c r="K5" s="28" t="str">
        <x:v>Audit event</x:v>
      </x:c>
      <x:c r="L5" s="28" t="str">
        <x:v>Rejected with reason</x:v>
      </x:c>
      <x:c r="M5" s="28" t="str">
        <x:v>Cannot confirm</x:v>
      </x:c>
      <x:c r="N5" s="28" t="str">
        <x:v>No</x:v>
      </x:c>
      <x:c r="O5" s="28" t="str">
        <x:v>JRN-PLANNER-SINGLE-001</x:v>
      </x:c>
    </x:row>
    <x:row r="6" ht="30" customHeight="1">
      <x:c r="A6" s="28" t="str">
        <x:v>Visit</x:v>
      </x:c>
      <x:c r="B6" s="28" t="str">
        <x:v>published/new</x:v>
      </x:c>
      <x:c r="C6" s="28" t="str">
        <x:v>prepared; cancelled; expired</x:v>
      </x:c>
      <x:c r="D6" s="28" t="str">
        <x:v>Confirm preparation/cancel/expiry</x:v>
      </x:c>
      <x:c r="E6" s="28" t="str">
        <x:v>Inspector/Planner/System</x:v>
      </x:c>
      <x:c r="F6" s="28" t="str">
        <x:v>Assignment and rules</x:v>
      </x:c>
      <x:c r="G6" s="28" t="str">
        <x:v>Prepare/cancel actions</x:v>
      </x:c>
      <x:c r="H6" s="28" t="str">
        <x:v>Canonical transitions</x:v>
      </x:c>
      <x:c r="I6" s="28" t="str">
        <x:v>visits.planning_status; operational_state</x:v>
      </x:c>
      <x:c r="J6" s="28" t="str">
        <x:v>Affected actors</x:v>
      </x:c>
      <x:c r="K6" s="28" t="str">
        <x:v>Lifecycle/audit</x:v>
      </x:c>
      <x:c r="L6" s="28" t="str">
        <x:v>Block invalid transition</x:v>
      </x:c>
      <x:c r="M6" s="28" t="str">
        <x:v>Partly</x:v>
      </x:c>
      <x:c r="N6" s="28" t="str">
        <x:v>No</x:v>
      </x:c>
      <x:c r="O6" s="28" t="str">
        <x:v>JRN-PLANNER-*;JRN-INSPECTOR-PREP-001</x:v>
      </x:c>
    </x:row>
    <x:row r="7" ht="30" customHeight="1">
      <x:c r="A7" s="28" t="str">
        <x:v>Visit</x:v>
      </x:c>
      <x:c r="B7" s="28" t="str">
        <x:v>prepared</x:v>
      </x:c>
      <x:c r="C7" s="28" t="str">
        <x:v>on_the_way</x:v>
      </x:c>
      <x:c r="D7" s="28" t="str">
        <x:v>Start journey</x:v>
      </x:c>
      <x:c r="E7" s="28" t="str">
        <x:v>Inspector</x:v>
      </x:c>
      <x:c r="F7" s="28" t="str">
        <x:v>Execution date/window</x:v>
      </x:c>
      <x:c r="G7" s="28" t="str">
        <x:v>Start journey</x:v>
      </x:c>
      <x:c r="H7" s="28" t="str">
        <x:v>Journey action</x:v>
      </x:c>
      <x:c r="I7" s="28" t="str">
        <x:v>visits.operational_state</x:v>
      </x:c>
      <x:c r="J7" s="28" t="str">
        <x:v>Operations</x:v>
      </x:c>
      <x:c r="K7" s="28" t="str">
        <x:v>Lifecycle/audit</x:v>
      </x:c>
      <x:c r="L7" s="28" t="str">
        <x:v>Block outside window</x:v>
      </x:c>
      <x:c r="M7" s="28" t="str">
        <x:v>Cannot confirm</x:v>
      </x:c>
      <x:c r="N7" s="28" t="str">
        <x:v>No</x:v>
      </x:c>
      <x:c r="O7" s="28" t="str">
        <x:v>JRN-INSPECTOR-TRAVEL-001</x:v>
      </x:c>
    </x:row>
    <x:row r="8" ht="30" customHeight="1">
      <x:c r="A8" s="28" t="str">
        <x:v>Visit</x:v>
      </x:c>
      <x:c r="B8" s="28" t="str">
        <x:v>on_the_way</x:v>
      </x:c>
      <x:c r="C8" s="28" t="str">
        <x:v>arrived</x:v>
      </x:c>
      <x:c r="D8" s="28" t="str">
        <x:v>Confirm arrival</x:v>
      </x:c>
      <x:c r="E8" s="28" t="str">
        <x:v>Inspector</x:v>
      </x:c>
      <x:c r="F8" s="28" t="str">
        <x:v>Location/geofence or override</x:v>
      </x:c>
      <x:c r="G8" s="28" t="str">
        <x:v>Arrival</x:v>
      </x:c>
      <x:c r="H8" s="28" t="str">
        <x:v>Arrival action</x:v>
      </x:c>
      <x:c r="I8" s="28" t="str">
        <x:v>visits.operational_state</x:v>
      </x:c>
      <x:c r="J8" s="28" t="str">
        <x:v>Operations</x:v>
      </x:c>
      <x:c r="K8" s="28" t="str">
        <x:v>Lifecycle/audit</x:v>
      </x:c>
      <x:c r="L8" s="28" t="str">
        <x:v>Override/reject</x:v>
      </x:c>
      <x:c r="M8" s="28" t="str">
        <x:v>Cannot confirm</x:v>
      </x:c>
      <x:c r="N8" s="28" t="str">
        <x:v>No</x:v>
      </x:c>
      <x:c r="O8" s="28" t="str">
        <x:v>JRN-INSPECTOR-TRAVEL-001</x:v>
      </x:c>
    </x:row>
    <x:row r="9" ht="30" customHeight="1">
      <x:c r="A9" s="28" t="str">
        <x:v>Inspection</x:v>
      </x:c>
      <x:c r="B9" s="28" t="str">
        <x:v>not_started</x:v>
      </x:c>
      <x:c r="C9" s="28" t="str">
        <x:v>in_progress</x:v>
      </x:c>
      <x:c r="D9" s="28" t="str">
        <x:v>Start inspection</x:v>
      </x:c>
      <x:c r="E9" s="28" t="str">
        <x:v>Inspector</x:v>
      </x:c>
      <x:c r="F9" s="28" t="str">
        <x:v>Arrived/eligible</x:v>
      </x:c>
      <x:c r="G9" s="28" t="str">
        <x:v>Start</x:v>
      </x:c>
      <x:c r="H9" s="28" t="str">
        <x:v>Execution action</x:v>
      </x:c>
      <x:c r="I9" s="28" t="str">
        <x:v>inspections.status</x:v>
      </x:c>
      <x:c r="J9" s="28" t="str">
        <x:v>None</x:v>
      </x:c>
      <x:c r="K9" s="28" t="str">
        <x:v>Audit</x:v>
      </x:c>
      <x:c r="L9" s="28" t="str">
        <x:v>Block</x:v>
      </x:c>
      <x:c r="M9" s="28" t="str">
        <x:v>Cannot confirm</x:v>
      </x:c>
      <x:c r="N9" s="28" t="str">
        <x:v>No</x:v>
      </x:c>
      <x:c r="O9" s="28" t="str">
        <x:v>JRN-INSPECTOR-EXEC-001</x:v>
      </x:c>
    </x:row>
    <x:row r="10" ht="30" customHeight="1">
      <x:c r="A10" s="28" t="str">
        <x:v>Inspection</x:v>
      </x:c>
      <x:c r="B10" s="28" t="str">
        <x:v>in_progress</x:v>
      </x:c>
      <x:c r="C10" s="28" t="str">
        <x:v>submitted</x:v>
      </x:c>
      <x:c r="D10" s="28" t="str">
        <x:v>Submit</x:v>
      </x:c>
      <x:c r="E10" s="28" t="str">
        <x:v>Inspector</x:v>
      </x:c>
      <x:c r="F10" s="28" t="str">
        <x:v>Completeness and immutable snapshot</x:v>
      </x:c>
      <x:c r="G10" s="28" t="str">
        <x:v>Submit</x:v>
      </x:c>
      <x:c r="H10" s="28" t="str">
        <x:v>Submission action</x:v>
      </x:c>
      <x:c r="I10" s="28" t="str">
        <x:v>inspections.status</x:v>
      </x:c>
      <x:c r="J10" s="28" t="str">
        <x:v>Reviewer</x:v>
      </x:c>
      <x:c r="K10" s="28" t="str">
        <x:v>Audit</x:v>
      </x:c>
      <x:c r="L10" s="28" t="str">
        <x:v>Validation errors</x:v>
      </x:c>
      <x:c r="M10" s="28" t="str">
        <x:v>Code present</x:v>
      </x:c>
      <x:c r="N10" s="28" t="str">
        <x:v>No</x:v>
      </x:c>
      <x:c r="O10" s="28" t="str">
        <x:v>JRN-INSPECTOR-EXEC-001</x:v>
      </x:c>
    </x:row>
    <x:row r="11" ht="30" customHeight="1">
      <x:c r="A11" s="28" t="str">
        <x:v>Inspection</x:v>
      </x:c>
      <x:c r="B11" s="28" t="str">
        <x:v>submitted</x:v>
      </x:c>
      <x:c r="C11" s="28" t="str">
        <x:v>approved; rejected; returned</x:v>
      </x:c>
      <x:c r="D11" s="28" t="str">
        <x:v>Review decision</x:v>
      </x:c>
      <x:c r="E11" s="28" t="str">
        <x:v>Reviewer/Approver</x:v>
      </x:c>
      <x:c r="F11" s="28" t="str">
        <x:v>Authorized non-self reviewer; immutable version</x:v>
      </x:c>
      <x:c r="G11" s="28" t="str">
        <x:v>Decision buttons</x:v>
      </x:c>
      <x:c r="H11" s="28" t="str">
        <x:v>Review mutation</x:v>
      </x:c>
      <x:c r="I11" s="28" t="str">
        <x:v>inspections.status/reviews.decision</x:v>
      </x:c>
      <x:c r="J11" s="28" t="str">
        <x:v>Inspector/compliance</x:v>
      </x:c>
      <x:c r="K11" s="28" t="str">
        <x:v>Audit</x:v>
      </x:c>
      <x:c r="L11" s="28" t="str">
        <x:v>Stale/self-approval blocked</x:v>
      </x:c>
      <x:c r="M11" s="28" t="str">
        <x:v>Broken live record</x:v>
      </x:c>
      <x:c r="N11" s="28" t="str">
        <x:v>No</x:v>
      </x:c>
      <x:c r="O11" s="28" t="str">
        <x:v>JRN-REVIEWER-DECIDE-001</x:v>
      </x:c>
    </x:row>
    <x:row r="12" ht="30" customHeight="1">
      <x:c r="A12" s="28" t="str">
        <x:v>Case</x:v>
      </x:c>
      <x:c r="B12" s="28" t="str">
        <x:v>open</x:v>
      </x:c>
      <x:c r="C12" s="28" t="str">
        <x:v>pending_review; closed</x:v>
      </x:c>
      <x:c r="D12" s="28" t="str">
        <x:v>Evidence/review</x:v>
      </x:c>
      <x:c r="E12" s="28" t="str">
        <x:v>Owner/Compliance</x:v>
      </x:c>
      <x:c r="F12" s="28" t="str">
        <x:v>Assigned owner and evidence</x:v>
      </x:c>
      <x:c r="G12" s="28" t="str">
        <x:v>Not proven</x:v>
      </x:c>
      <x:c r="H12" s="28" t="str">
        <x:v>Case action</x:v>
      </x:c>
      <x:c r="I12" s="28" t="str">
        <x:v>cases.status</x:v>
      </x:c>
      <x:c r="J12" s="28" t="str">
        <x:v>Owner/reviewer</x:v>
      </x:c>
      <x:c r="K12" s="28" t="str">
        <x:v>Audit</x:v>
      </x:c>
      <x:c r="L12" s="28" t="str">
        <x:v>Cannot confirm</x:v>
      </x:c>
      <x:c r="M12" s="28" t="str">
        <x:v>Not found</x:v>
      </x:c>
      <x:c r="N12" s="28" t="str">
        <x:v>No</x:v>
      </x:c>
      <x:c r="O12" s="28" t="str">
        <x:v>JRN-CA-RESPOND-001</x:v>
      </x:c>
    </x:row>
  </x:sheetData>
  <x:mergeCells>
    <x:mergeCell ref="A1:O1"/>
  </x:mergeCells>
  <x:pageMargins left="0.7" right="0.7" top="0.75" bottom="0.75" header="0.3" footer="0.3"/>
  <x:tableParts count="1">
    <x:tablePart xmlns:r="http://schemas.openxmlformats.org/officeDocument/2006/relationships" r:id="Ra9d884ee5853468b"/>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5" hidden="0" customWidth="1"/>
    <x:col min="2" max="2" width="15" hidden="0" customWidth="1"/>
    <x:col min="3" max="3" width="12" hidden="0" customWidth="1"/>
    <x:col min="4" max="4" width="19" hidden="0" customWidth="1"/>
    <x:col min="5" max="5" width="22" hidden="0" customWidth="1"/>
    <x:col min="6" max="6" width="12" hidden="0" customWidth="1"/>
    <x:col min="7" max="7" width="25" hidden="0" customWidth="1"/>
    <x:col min="8" max="8" width="12" hidden="0" customWidth="1"/>
    <x:col min="9" max="9" width="19" hidden="0" customWidth="1"/>
    <x:col min="10" max="10" width="12" hidden="0" customWidth="1"/>
  </x:cols>
  <x:sheetData>
    <x:row r="1" ht="30" customHeight="1">
      <x:c r="A1" s="24" t="str">
        <x:v>10 PERMISSIONS MATRIX</x:v>
      </x:c>
      <x:c r="B1" s="25"/>
      <x:c r="C1" s="25"/>
      <x:c r="D1" s="25"/>
      <x:c r="E1" s="25"/>
      <x:c r="F1" s="25"/>
      <x:c r="G1" s="25"/>
      <x:c r="H1" s="25"/>
      <x:c r="I1" s="25"/>
      <x:c r="J1" s="25"/>
    </x:row>
    <x:row r="2" ht="30" customHeight="1">
      <x:c r="A2" s="26" t="str">
        <x:v>Audit snapshot · 2026-07-30 (Asia/Riyadh) · commit ada62124</x:v>
      </x:c>
      <x:c r="B2" s="26" t="str"/>
      <x:c r="C2" s="26" t="str"/>
      <x:c r="D2" s="26" t="str"/>
      <x:c r="E2" s="26" t="str"/>
      <x:c r="F2" s="26" t="str"/>
      <x:c r="G2" s="26" t="str"/>
      <x:c r="H2" s="26" t="str"/>
      <x:c r="I2" s="26" t="str"/>
      <x:c r="J2" s="26" t="str"/>
    </x:row>
    <x:row r="3" ht="30" customHeight="1">
      <x:c r="A3" s="25"/>
      <x:c r="B3" s="25"/>
      <x:c r="C3" s="25"/>
      <x:c r="D3" s="25"/>
      <x:c r="E3" s="25"/>
      <x:c r="F3" s="25"/>
      <x:c r="G3" s="25"/>
      <x:c r="H3" s="25"/>
      <x:c r="I3" s="25"/>
      <x:c r="J3" s="25"/>
    </x:row>
    <x:row r="4" ht="30" customHeight="1">
      <x:c r="A4" s="27" t="str">
        <x:v>Persona/role</x:v>
      </x:c>
      <x:c r="B4" s="27" t="str">
        <x:v>Admin config</x:v>
      </x:c>
      <x:c r="C4" s="27" t="str">
        <x:v>Planning</x:v>
      </x:c>
      <x:c r="D4" s="27" t="str">
        <x:v>Visit management</x:v>
      </x:c>
      <x:c r="E4" s="27" t="str">
        <x:v>Inspector execution</x:v>
      </x:c>
      <x:c r="F4" s="27" t="str">
        <x:v>Review</x:v>
      </x:c>
      <x:c r="G4" s="27" t="str">
        <x:v>Operations/Factory 360</x:v>
      </x:c>
      <x:c r="H4" s="27" t="str">
        <x:v>Audit</x:v>
      </x:c>
      <x:c r="I4" s="27" t="str">
        <x:v>Cases/Compliance</x:v>
      </x:c>
      <x:c r="J4" s="27" t="str">
        <x:v>Evidence</x:v>
      </x:c>
    </x:row>
    <x:row r="5" ht="30" customHeight="1">
      <x:c r="A5" s="28" t="str">
        <x:v>Platform Administrator</x:v>
      </x:c>
      <x:c r="B5" s="28" t="str">
        <x:v>Allow</x:v>
      </x:c>
      <x:c r="C5" s="28" t="str">
        <x:v>Allow</x:v>
      </x:c>
      <x:c r="D5" s="28" t="str">
        <x:v>Conditional</x:v>
      </x:c>
      <x:c r="E5" s="28" t="str">
        <x:v>Deny</x:v>
      </x:c>
      <x:c r="F5" s="28" t="str">
        <x:v>Conditional</x:v>
      </x:c>
      <x:c r="G5" s="28" t="str">
        <x:v>Allow</x:v>
      </x:c>
      <x:c r="H5" s="28" t="str">
        <x:v>Allow</x:v>
      </x:c>
      <x:c r="I5" s="28" t="str">
        <x:v>Allow</x:v>
      </x:c>
      <x:c r="J5" s="28" t="str">
        <x:v>roles/capabilities/RLS; runtime unverified</x:v>
      </x:c>
    </x:row>
    <x:row r="6" ht="30" customHeight="1">
      <x:c r="A6" s="28" t="str">
        <x:v>Compliance Administrator</x:v>
      </x:c>
      <x:c r="B6" s="28" t="str">
        <x:v>Conditional</x:v>
      </x:c>
      <x:c r="C6" s="28" t="str">
        <x:v>Deny</x:v>
      </x:c>
      <x:c r="D6" s="28" t="str">
        <x:v>Deny</x:v>
      </x:c>
      <x:c r="E6" s="28" t="str">
        <x:v>Conditional</x:v>
      </x:c>
      <x:c r="F6" s="28" t="str">
        <x:v>Conditional</x:v>
      </x:c>
      <x:c r="G6" s="28" t="str">
        <x:v>Conditional</x:v>
      </x:c>
      <x:c r="H6" s="28" t="str">
        <x:v>Allow</x:v>
      </x:c>
      <x:c r="I6" s="28" t="str">
        <x:v>Conditional</x:v>
      </x:c>
      <x:c r="J6" s="28" t="str">
        <x:v>guards and RLS; exact matrix needs runtime</x:v>
      </x:c>
    </x:row>
    <x:row r="7" ht="30" customHeight="1">
      <x:c r="A7" s="28" t="str">
        <x:v>Planner</x:v>
      </x:c>
      <x:c r="B7" s="28" t="str">
        <x:v>Deny</x:v>
      </x:c>
      <x:c r="C7" s="28" t="str">
        <x:v>Allow</x:v>
      </x:c>
      <x:c r="D7" s="28" t="str">
        <x:v>Conditional</x:v>
      </x:c>
      <x:c r="E7" s="28" t="str">
        <x:v>Deny</x:v>
      </x:c>
      <x:c r="F7" s="28" t="str">
        <x:v>Read</x:v>
      </x:c>
      <x:c r="G7" s="28" t="str">
        <x:v>Read</x:v>
      </x:c>
      <x:c r="H7" s="28" t="str">
        <x:v>Deny</x:v>
      </x:c>
      <x:c r="I7" s="28" t="str">
        <x:v>Read</x:v>
      </x:c>
      <x:c r="J7" s="28" t="str">
        <x:v>planning.view/create/publish; RLS</x:v>
      </x:c>
    </x:row>
    <x:row r="8" ht="30" customHeight="1">
      <x:c r="A8" s="28" t="str">
        <x:v>Planning Supervisor</x:v>
      </x:c>
      <x:c r="B8" s="28" t="str">
        <x:v>Deny</x:v>
      </x:c>
      <x:c r="C8" s="28" t="str">
        <x:v>Conditional</x:v>
      </x:c>
      <x:c r="D8" s="28" t="str">
        <x:v>Allow</x:v>
      </x:c>
      <x:c r="E8" s="28" t="str">
        <x:v>Deny</x:v>
      </x:c>
      <x:c r="F8" s="28" t="str">
        <x:v>Read</x:v>
      </x:c>
      <x:c r="G8" s="28" t="str">
        <x:v>Read</x:v>
      </x:c>
      <x:c r="H8" s="28" t="str">
        <x:v>Deny</x:v>
      </x:c>
      <x:c r="I8" s="28" t="str">
        <x:v>Read</x:v>
      </x:c>
      <x:c r="J8" s="28" t="str">
        <x:v>planning.approve observed; role decision open</x:v>
      </x:c>
    </x:row>
    <x:row r="9" ht="30" customHeight="1">
      <x:c r="A9" s="28" t="str">
        <x:v>Inspector</x:v>
      </x:c>
      <x:c r="B9" s="28" t="str">
        <x:v>Deny</x:v>
      </x:c>
      <x:c r="C9" s="28" t="str">
        <x:v>Deny</x:v>
      </x:c>
      <x:c r="D9" s="28" t="str">
        <x:v>Own assigned</x:v>
      </x:c>
      <x:c r="E9" s="28" t="str">
        <x:v>Own assigned</x:v>
      </x:c>
      <x:c r="F9" s="28" t="str">
        <x:v>Deny</x:v>
      </x:c>
      <x:c r="G9" s="28" t="str">
        <x:v>Own scope</x:v>
      </x:c>
      <x:c r="H9" s="28" t="str">
        <x:v>Deny</x:v>
      </x:c>
      <x:c r="I9" s="28" t="str">
        <x:v>Own scope</x:v>
      </x:c>
      <x:c r="J9" s="28" t="str">
        <x:v>assignment/RLS; field route scope</x:v>
      </x:c>
    </x:row>
    <x:row r="10" ht="30" customHeight="1">
      <x:c r="A10" s="28" t="str">
        <x:v>Reviewer/Approver</x:v>
      </x:c>
      <x:c r="B10" s="28" t="str">
        <x:v>Deny</x:v>
      </x:c>
      <x:c r="C10" s="28" t="str">
        <x:v>Deny</x:v>
      </x:c>
      <x:c r="D10" s="28" t="str">
        <x:v>Read</x:v>
      </x:c>
      <x:c r="E10" s="28" t="str">
        <x:v>Deny</x:v>
      </x:c>
      <x:c r="F10" s="28" t="str">
        <x:v>Allow</x:v>
      </x:c>
      <x:c r="G10" s="28" t="str">
        <x:v>Read</x:v>
      </x:c>
      <x:c r="H10" s="28" t="str">
        <x:v>Deny</x:v>
      </x:c>
      <x:c r="I10" s="28" t="str">
        <x:v>Conditional</x:v>
      </x:c>
      <x:c r="J10" s="28" t="str">
        <x:v>review guards/RLS; self-approval expected denied</x:v>
      </x:c>
    </x:row>
    <x:row r="11" ht="30" customHeight="1">
      <x:c r="A11" s="28" t="str">
        <x:v>Compliance Officer</x:v>
      </x:c>
      <x:c r="B11" s="28" t="str">
        <x:v>Deny</x:v>
      </x:c>
      <x:c r="C11" s="28" t="str">
        <x:v>Deny</x:v>
      </x:c>
      <x:c r="D11" s="28" t="str">
        <x:v>Read</x:v>
      </x:c>
      <x:c r="E11" s="28" t="str">
        <x:v>Deny</x:v>
      </x:c>
      <x:c r="F11" s="28" t="str">
        <x:v>Conditional</x:v>
      </x:c>
      <x:c r="G11" s="28" t="str">
        <x:v>Read</x:v>
      </x:c>
      <x:c r="H11" s="28" t="str">
        <x:v>Deny</x:v>
      </x:c>
      <x:c r="I11" s="28" t="str">
        <x:v>Allow</x:v>
      </x:c>
      <x:c r="J11" s="28" t="str">
        <x:v>cases action comment: compliance/reviewer</x:v>
      </x:c>
    </x:row>
    <x:row r="12" ht="30" customHeight="1">
      <x:c r="A12" s="28" t="str">
        <x:v>Operations</x:v>
      </x:c>
      <x:c r="B12" s="28" t="str">
        <x:v>Deny</x:v>
      </x:c>
      <x:c r="C12" s="28" t="str">
        <x:v>Read</x:v>
      </x:c>
      <x:c r="D12" s="28" t="str">
        <x:v>Read</x:v>
      </x:c>
      <x:c r="E12" s="28" t="str">
        <x:v>Deny</x:v>
      </x:c>
      <x:c r="F12" s="28" t="str">
        <x:v>Read</x:v>
      </x:c>
      <x:c r="G12" s="28" t="str">
        <x:v>Allow</x:v>
      </x:c>
      <x:c r="H12" s="28" t="str">
        <x:v>Deny</x:v>
      </x:c>
      <x:c r="I12" s="28" t="str">
        <x:v>Read</x:v>
      </x:c>
      <x:c r="J12" s="28" t="str">
        <x:v>operations access; runtime unverified</x:v>
      </x:c>
    </x:row>
    <x:row r="13" ht="30" customHeight="1">
      <x:c r="A13" s="28" t="str">
        <x:v>Leadership</x:v>
      </x:c>
      <x:c r="B13" s="28" t="str">
        <x:v>Deny</x:v>
      </x:c>
      <x:c r="C13" s="28" t="str">
        <x:v>Deny</x:v>
      </x:c>
      <x:c r="D13" s="28" t="str">
        <x:v>Read</x:v>
      </x:c>
      <x:c r="E13" s="28" t="str">
        <x:v>Deny</x:v>
      </x:c>
      <x:c r="F13" s="28" t="str">
        <x:v>Deny</x:v>
      </x:c>
      <x:c r="G13" s="28" t="str">
        <x:v>Read</x:v>
      </x:c>
      <x:c r="H13" s="28" t="str">
        <x:v>Deny</x:v>
      </x:c>
      <x:c r="I13" s="28" t="str">
        <x:v>Read</x:v>
      </x:c>
      <x:c r="J13" s="28" t="str">
        <x:v>read-only expected; cannot confirm</x:v>
      </x:c>
    </x:row>
    <x:row r="14" ht="30" customHeight="1">
      <x:c r="A14" s="28" t="str">
        <x:v>Factory Representative</x:v>
      </x:c>
      <x:c r="B14" s="28" t="str">
        <x:v>Deny</x:v>
      </x:c>
      <x:c r="C14" s="28" t="str">
        <x:v>Deny</x:v>
      </x:c>
      <x:c r="D14" s="28" t="str">
        <x:v>Deny</x:v>
      </x:c>
      <x:c r="E14" s="28" t="str">
        <x:v>Deny</x:v>
      </x:c>
      <x:c r="F14" s="28" t="str">
        <x:v>Deny</x:v>
      </x:c>
      <x:c r="G14" s="28" t="str">
        <x:v>Conditional</x:v>
      </x:c>
      <x:c r="H14" s="28" t="str">
        <x:v>Deny</x:v>
      </x:c>
      <x:c r="I14" s="28" t="str">
        <x:v>Conditional</x:v>
      </x:c>
      <x:c r="J14" s="28" t="str">
        <x:v>Cannot confirm from available evidence</x:v>
      </x:c>
    </x:row>
    <x:row r="15" ht="30" customHeight="1">
      <x:c r="A15" s="28" t="str">
        <x:v>System</x:v>
      </x:c>
      <x:c r="B15" s="28" t="str">
        <x:v>Conditional</x:v>
      </x:c>
      <x:c r="C15" s="28" t="str">
        <x:v>Conditional</x:v>
      </x:c>
      <x:c r="D15" s="28" t="str">
        <x:v>Conditional</x:v>
      </x:c>
      <x:c r="E15" s="28" t="str">
        <x:v>Conditional</x:v>
      </x:c>
      <x:c r="F15" s="28" t="str">
        <x:v>Conditional</x:v>
      </x:c>
      <x:c r="G15" s="28" t="str">
        <x:v>Conditional</x:v>
      </x:c>
      <x:c r="H15" s="28" t="str">
        <x:v>Conditional</x:v>
      </x:c>
      <x:c r="I15" s="28" t="str">
        <x:v>Conditional</x:v>
      </x:c>
      <x:c r="J15" s="28" t="str">
        <x:v>function/worker authority; never human UI</x:v>
      </x:c>
    </x:row>
  </x:sheetData>
  <x:mergeCells>
    <x:mergeCell ref="A1:J1"/>
  </x:mergeCells>
  <x:pageMargins left="0.7" right="0.7" top="0.75" bottom="0.75" header="0.3" footer="0.3"/>
  <x:tableParts count="1">
    <x:tablePart xmlns:r="http://schemas.openxmlformats.org/officeDocument/2006/relationships" r:id="R20a0c6c99f224414"/>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6" hidden="0" customWidth="1"/>
    <x:col min="2" max="2" width="13" hidden="0" customWidth="1"/>
    <x:col min="3" max="3" width="12" hidden="0" customWidth="1"/>
    <x:col min="4" max="4" width="12" hidden="0" customWidth="1"/>
    <x:col min="5" max="5" width="12" hidden="0" customWidth="1"/>
    <x:col min="6" max="6" width="12" hidden="0" customWidth="1"/>
    <x:col min="7" max="7" width="20" hidden="0" customWidth="1"/>
    <x:col min="8" max="8" width="18" hidden="0" customWidth="1"/>
    <x:col min="9" max="9" width="21" hidden="0" customWidth="1"/>
    <x:col min="10" max="10" width="16" hidden="0" customWidth="1"/>
    <x:col min="11" max="11" width="18" hidden="0" customWidth="1"/>
    <x:col min="12" max="12" width="20" hidden="0" customWidth="1"/>
    <x:col min="13" max="13" width="18" hidden="0" customWidth="1"/>
    <x:col min="14" max="14" width="13" hidden="0" customWidth="1"/>
    <x:col min="15" max="15" width="22" hidden="0" customWidth="1"/>
    <x:col min="16" max="16" width="34" hidden="0" customWidth="1"/>
    <x:col min="17" max="17" width="12" hidden="0" customWidth="1"/>
    <x:col min="18" max="18" width="13" hidden="0" customWidth="1"/>
    <x:col min="19" max="19" width="14" hidden="0" customWidth="1"/>
    <x:col min="20" max="20" width="22" hidden="0" customWidth="1"/>
    <x:col min="21" max="21" width="15" hidden="0" customWidth="1"/>
    <x:col min="22" max="22" width="18" hidden="0" customWidth="1"/>
    <x:col min="23" max="23" width="17" hidden="0" customWidth="1"/>
    <x:col min="24" max="24" width="12" hidden="0" customWidth="1"/>
    <x:col min="25" max="25" width="13" hidden="0" customWidth="1"/>
  </x:cols>
  <x:sheetData>
    <x:row r="1" ht="30" customHeight="1">
      <x:c r="A1" s="24" t="str">
        <x:v>11 BREAKPOINT REGISTER</x:v>
      </x:c>
      <x:c r="B1" s="25"/>
      <x:c r="C1" s="25"/>
      <x:c r="D1" s="25"/>
      <x:c r="E1" s="25"/>
      <x:c r="F1" s="25"/>
      <x:c r="G1" s="25"/>
      <x:c r="H1" s="25"/>
      <x:c r="I1" s="25"/>
      <x:c r="J1" s="25"/>
      <x:c r="K1" s="25"/>
      <x:c r="L1" s="25"/>
      <x:c r="M1" s="25"/>
      <x:c r="N1" s="25"/>
      <x:c r="O1" s="25"/>
      <x:c r="P1" s="25"/>
      <x:c r="Q1" s="25"/>
      <x:c r="R1" s="25"/>
      <x:c r="S1" s="25"/>
      <x:c r="T1" s="25"/>
      <x:c r="U1" s="25"/>
      <x:c r="V1" s="25"/>
      <x:c r="W1" s="25"/>
      <x:c r="X1" s="25"/>
      <x:c r="Y1" s="25"/>
    </x:row>
    <x:row r="2" ht="30" customHeight="1">
      <x:c r="A2" s="26" t="str">
        <x:v>Audit snapshot · 2026-07-30 (Asia/Riyadh) · commit ada62124</x:v>
      </x:c>
      <x:c r="B2" s="26" t="str"/>
      <x:c r="C2" s="26" t="str"/>
      <x:c r="D2" s="26" t="str"/>
      <x:c r="E2" s="26" t="str"/>
      <x:c r="F2" s="26" t="str"/>
      <x:c r="G2" s="26" t="str"/>
      <x:c r="H2" s="26" t="str"/>
      <x:c r="I2" s="26" t="str"/>
      <x:c r="J2" s="26" t="str"/>
      <x:c r="K2" s="26" t="str"/>
      <x:c r="L2" s="26" t="str"/>
      <x:c r="M2" s="26" t="str"/>
      <x:c r="N2" s="26" t="str"/>
      <x:c r="O2" s="26" t="str"/>
      <x:c r="P2" s="26" t="str"/>
      <x:c r="Q2" s="26" t="str"/>
      <x:c r="R2" s="26" t="str"/>
      <x:c r="S2" s="26" t="str"/>
      <x:c r="T2" s="26" t="str"/>
      <x:c r="U2" s="26" t="str"/>
      <x:c r="V2" s="26" t="str"/>
      <x:c r="W2" s="26" t="str"/>
      <x:c r="X2" s="26" t="str"/>
      <x:c r="Y2" s="26" t="str"/>
    </x:row>
    <x:row r="3" ht="30" customHeight="1">
      <x:c r="A3" s="25"/>
      <x:c r="B3" s="25"/>
      <x:c r="C3" s="25"/>
      <x:c r="D3" s="25"/>
      <x:c r="E3" s="25"/>
      <x:c r="F3" s="25"/>
      <x:c r="G3" s="25"/>
      <x:c r="H3" s="25"/>
      <x:c r="I3" s="25"/>
      <x:c r="J3" s="25"/>
      <x:c r="K3" s="25"/>
      <x:c r="L3" s="25"/>
      <x:c r="M3" s="25"/>
      <x:c r="N3" s="25"/>
      <x:c r="O3" s="25"/>
      <x:c r="P3" s="25"/>
      <x:c r="Q3" s="25"/>
      <x:c r="R3" s="25"/>
      <x:c r="S3" s="25"/>
      <x:c r="T3" s="25"/>
      <x:c r="U3" s="25"/>
      <x:c r="V3" s="25"/>
      <x:c r="W3" s="25"/>
      <x:c r="X3" s="25"/>
      <x:c r="Y3" s="25"/>
    </x:row>
    <x:row r="4" ht="30" customHeight="1">
      <x:c r="A4" s="27" t="str">
        <x:v>Breakpoint ID</x:v>
      </x:c>
      <x:c r="B4" s="27" t="str">
        <x:v>Journey ID</x:v>
      </x:c>
      <x:c r="C4" s="27" t="str">
        <x:v>Step ID</x:v>
      </x:c>
      <x:c r="D4" s="27" t="str">
        <x:v>Persona</x:v>
      </x:c>
      <x:c r="E4" s="27" t="str">
        <x:v>Category</x:v>
      </x:c>
      <x:c r="F4" s="27" t="str">
        <x:v>Title</x:v>
      </x:c>
      <x:c r="G4" s="27" t="str">
        <x:v>Expected behavior</x:v>
      </x:c>
      <x:c r="H4" s="27" t="str">
        <x:v>Actual behavior</x:v>
      </x:c>
      <x:c r="I4" s="27" t="str">
        <x:v>Reproduction steps</x:v>
      </x:c>
      <x:c r="J4" s="27" t="str">
        <x:v>Preconditions</x:v>
      </x:c>
      <x:c r="K4" s="27" t="str">
        <x:v>Business impact</x:v>
      </x:c>
      <x:c r="L4" s="27" t="str">
        <x:v>Completion impact</x:v>
      </x:c>
      <x:c r="M4" s="27" t="str">
        <x:v>Scope of impact</x:v>
      </x:c>
      <x:c r="N4" s="27" t="str">
        <x:v>Root cause</x:v>
      </x:c>
      <x:c r="O4" s="27" t="str">
        <x:v>Root-cause evidence</x:v>
      </x:c>
      <x:c r="P4" s="27" t="str">
        <x:v>Frontend/backend/database/integration</x:v>
      </x:c>
      <x:c r="Q4" s="27" t="str">
        <x:v>Severity</x:v>
      </x:c>
      <x:c r="R4" s="27" t="str">
        <x:v>Workaround</x:v>
      </x:c>
      <x:c r="S4" s="27" t="str">
        <x:v>Remediation</x:v>
      </x:c>
      <x:c r="T4" s="27" t="str">
        <x:v>Acceptance criteria</x:v>
      </x:c>
      <x:c r="U4" s="27" t="str">
        <x:v>Source files</x:v>
      </x:c>
      <x:c r="V4" s="27" t="str">
        <x:v>Repo deep links</x:v>
      </x:c>
      <x:c r="W4" s="27" t="str">
        <x:v>Screenshot IDs</x:v>
      </x:c>
      <x:c r="X4" s="27" t="str">
        <x:v>Status</x:v>
      </x:c>
      <x:c r="Y4" s="27" t="str">
        <x:v>Confidence</x:v>
      </x:c>
    </x:row>
    <x:row r="5" ht="30" customHeight="1">
      <x:c r="A5" s="28" t="str">
        <x:v>BP-001</x:v>
      </x:c>
      <x:c r="B5" s="28" t="str">
        <x:v>Multiple</x:v>
      </x:c>
      <x:c r="C5" s="28" t="str">
        <x:v>Authentication step</x:v>
      </x:c>
      <x:c r="D5" s="28" t="str">
        <x:v>All human personas</x:v>
      </x:c>
      <x:c r="E5" s="28" t="str">
        <x:v>Identity/Access</x:v>
      </x:c>
      <x:c r="F5" s="28" t="str">
        <x:v>Runtime persona authentication unavailable</x:v>
      </x:c>
      <x:c r="G5" s="28" t="str">
        <x:v>Authorized persona can sign in and reach scoped landing</x:v>
      </x:c>
      <x:c r="H5" s="28" t="str">
        <x:v>National ID path says ministry directory contract not supplied; attempted inspector work-email credential rejected; protected route redirects to login</x:v>
      </x:c>
      <x:c r="I5" s="28" t="str">
        <x:v>Open /login; try configured staff-number path; try available inspector identity; open /planning</x:v>
      </x:c>
      <x:c r="J5" s="28" t="str">
        <x:v>Local build and staging-backed auth</x:v>
      </x:c>
      <x:c r="K5" s="28" t="str">
        <x:v>All runtime persona journeys blocked</x:v>
      </x:c>
      <x:c r="L5" s="28" t="str">
        <x:v>Blocks execution evidence</x:v>
      </x:c>
      <x:c r="M5" s="28" t="str">
        <x:v>Platform-wide</x:v>
      </x:c>
      <x:c r="N5" s="28" t="str">
        <x:v>Identity provider/credential readiness cannot be confirmed</x:v>
      </x:c>
      <x:c r="O5" s="28" t="str">
        <x:v>Runtime screenshots and login source</x:v>
      </x:c>
      <x:c r="P5" s="28" t="str">
        <x:v>Frontend/Auth</x:v>
      </x:c>
      <x:c r="Q5" s="28" t="str">
        <x:v>P0</x:v>
      </x:c>
      <x:c r="R5" s="28" t="str">
        <x:v>Static audit remains possible</x:v>
      </x:c>
      <x:c r="S5" s="28" t="str">
        <x:v>Provide approved non-production persona credentials or directory integration; verify each persona landing and deny paths</x:v>
      </x:c>
      <x:c r="T5" s="28" t="str">
        <x:v>All required personas authenticate; unauthorized personas remain denied; no secrets embedded</x:v>
      </x:c>
      <x:c r="U5" s="28" t="str">
        <x:v>https://github.com/Vikram-Indla/Inspection/blob/ada62124c5f8c8066cec397dc70fab31be9b0c7d/apps/web/src/app/login/page.tsx</x:v>
      </x:c>
      <x:c r="V5" s="28" t="str">
        <x:v>https://github.com/Vikram-Indla/Inspection/blob/ada62124c5f8c8066cec397dc70fab31be9b0c7d/apps/web/src/app/login/page.tsx</x:v>
      </x:c>
      <x:c r="W5" s="28" t="str">
        <x:v>SCR-001;SCR-002;SCR-003</x:v>
      </x:c>
      <x:c r="X5" s="28" t="str">
        <x:v>Open</x:v>
      </x:c>
      <x:c r="Y5" s="28" t="str">
        <x:v>High</x:v>
      </x:c>
    </x:row>
    <x:row r="6" ht="30" customHeight="1">
      <x:c r="A6" s="28" t="str">
        <x:v>BP-002</x:v>
      </x:c>
      <x:c r="B6" s="28" t="str">
        <x:v>JRN-ADMIN-IAM-001</x:v>
      </x:c>
      <x:c r="C6" s="28" t="str">
        <x:v>Provision identity</x:v>
      </x:c>
      <x:c r="D6" s="28" t="str">
        <x:v>Administrator</x:v>
      </x:c>
      <x:c r="E6" s="28" t="str">
        <x:v>Governance</x:v>
      </x:c>
      <x:c r="F6" s="28" t="str">
        <x:v>Role/persona model not fully resolved</x:v>
      </x:c>
      <x:c r="G6" s="28" t="str">
        <x:v>Named personas have unambiguous roles and capabilities</x:v>
      </x:c>
      <x:c r="H6" s="28" t="str">
        <x:v>Supervisor, approver and planning supervisor relationship remains open in Execution BRD</x:v>
      </x:c>
      <x:c r="I6" s="28" t="str">
        <x:v>Review Execution.docx §1.3 and repo role checks</x:v>
      </x:c>
      <x:c r="J6" s="28" t="str">
        <x:v>Governed role decision absent</x:v>
      </x:c>
      <x:c r="K6" s="28" t="str">
        <x:v>Ambiguous ownership/segregation of duties</x:v>
      </x:c>
      <x:c r="L6" s="28" t="str">
        <x:v>May block approval/release</x:v>
      </x:c>
      <x:c r="M6" s="28" t="str">
        <x:v>Cross-module</x:v>
      </x:c>
      <x:c r="N6" s="28" t="str">
        <x:v>Product decision unresolved</x:v>
      </x:c>
      <x:c r="O6" s="28" t="str">
        <x:v>Drive Execution.docx</x:v>
      </x:c>
      <x:c r="P6" s="28" t="str">
        <x:v>Governance</x:v>
      </x:c>
      <x:c r="Q6" s="28" t="str">
        <x:v>P1</x:v>
      </x:c>
      <x:c r="R6" s="28" t="str">
        <x:v>Manual clarification</x:v>
      </x:c>
      <x:c r="S6" s="28" t="str">
        <x:v>Approve platform-wide role/capability matrix and update guards/RLS consistently</x:v>
      </x:c>
      <x:c r="T6" s="28" t="str">
        <x:v>One decision maps labels to roles/capabilities and negative tests</x:v>
      </x:c>
      <x:c r="U6" s="28" t="str">
        <x:v>product-contract/governance/FOUR_INTERNAL_ROLE_CAPABILITY_MATRIX.md</x:v>
      </x:c>
      <x:c r="V6" s="28" t="str">
        <x:v>https://github.com/Vikram-Indla/Inspection/blob/ada62124c5f8c8066cec397dc70fab31be9b0c7d/product-contract/governance/FOUR_INTERNAL_ROLE_CAPABILITY_MATRIX.md</x:v>
      </x:c>
      <x:c r="W6" s="28" t="str"/>
      <x:c r="X6" s="28" t="str">
        <x:v>Open</x:v>
      </x:c>
      <x:c r="Y6" s="28" t="str">
        <x:v>High</x:v>
      </x:c>
    </x:row>
    <x:row r="7" ht="30" customHeight="1">
      <x:c r="A7" s="28" t="str">
        <x:v>BP-003</x:v>
      </x:c>
      <x:c r="B7" s="28" t="str">
        <x:v>JRN-ADMIN-CONFIG-001</x:v>
      </x:c>
      <x:c r="C7" s="28" t="str">
        <x:v>Configuration publish</x:v>
      </x:c>
      <x:c r="D7" s="28" t="str">
        <x:v>Compliance Administrator</x:v>
      </x:c>
      <x:c r="E7" s="28" t="str">
        <x:v>Configuration</x:v>
      </x:c>
      <x:c r="F7" s="28" t="str">
        <x:v>Configuration journey not runtime verified</x:v>
      </x:c>
      <x:c r="G7" s="28" t="str">
        <x:v>Maker-checker configuration can be created, returned, revised and published</x:v>
      </x:c>
      <x:c r="H7" s="28" t="str">
        <x:v>Authentication blocks runtime; multiple dependent tables have no journey proof</x:v>
      </x:c>
      <x:c r="I7" s="28" t="str">
        <x:v>Static trace only</x:v>
      </x:c>
      <x:c r="J7" s="28" t="str">
        <x:v>Persona and fixture missing</x:v>
      </x:c>
      <x:c r="K7" s="28" t="str">
        <x:v>Inspection package validity cannot be proven</x:v>
      </x:c>
      <x:c r="L7" s="28" t="str">
        <x:v>Blocks golden thread prerequisites</x:v>
      </x:c>
      <x:c r="M7" s="28" t="str">
        <x:v>Core</x:v>
      </x:c>
      <x:c r="N7" s="28" t="str">
        <x:v>Runtime environment not ready</x:v>
      </x:c>
      <x:c r="O7" s="28" t="str">
        <x:v>Route and schema evidence</x:v>
      </x:c>
      <x:c r="P7" s="28" t="str">
        <x:v>Full stack</x:v>
      </x:c>
      <x:c r="Q7" s="28" t="str">
        <x:v>P0</x:v>
      </x:c>
      <x:c r="R7" s="28" t="str">
        <x:v>None for certification</x:v>
      </x:c>
      <x:c r="S7" s="28" t="str">
        <x:v>Create disposable scenario and execute complete maker-checker path</x:v>
      </x:c>
      <x:c r="T7" s="28" t="str">
        <x:v>Published version is immutable, dependency-complete and visible downstream</x:v>
      </x:c>
      <x:c r="U7" s="28" t="str">
        <x:v>https://github.com/Vikram-Indla/Inspection/blob/ada62124c5f8c8066cec397dc70fab31be9b0c7d/apps/web/src/app/(app)/admin/compliance-requests/new/page.tsx</x:v>
      </x:c>
      <x:c r="V7" s="28" t="str">
        <x:v>https://github.com/Vikram-Indla/Inspection/blob/ada62124c5f8c8066cec397dc70fab31be9b0c7d/apps/web/src/app/(app)/admin/compliance-requests/new/page.tsx</x:v>
      </x:c>
      <x:c r="W7" s="28" t="str">
        <x:v>SCR-003</x:v>
      </x:c>
      <x:c r="X7" s="28" t="str">
        <x:v>Open</x:v>
      </x:c>
      <x:c r="Y7" s="28" t="str">
        <x:v>Medium</x:v>
      </x:c>
    </x:row>
    <x:row r="8" ht="30" customHeight="1">
      <x:c r="A8" s="28" t="str">
        <x:v>BP-004</x:v>
      </x:c>
      <x:c r="B8" s="28" t="str">
        <x:v>JRN-ADMIN-EXEC-001</x:v>
      </x:c>
      <x:c r="C8" s="28" t="str">
        <x:v>Execution config</x:v>
      </x:c>
      <x:c r="D8" s="28" t="str">
        <x:v>Administrator</x:v>
      </x:c>
      <x:c r="E8" s="28" t="str">
        <x:v>Configuration</x:v>
      </x:c>
      <x:c r="F8" s="28" t="str">
        <x:v>Governed execution values cannot be confirmed</x:v>
      </x:c>
      <x:c r="G8" s="28" t="str">
        <x:v>Capacity/mode/reason settings have approved values</x:v>
      </x:c>
      <x:c r="H8" s="28" t="str">
        <x:v>Audit cannot invent missing policy and runtime is blocked</x:v>
      </x:c>
      <x:c r="I8" s="28" t="str">
        <x:v>Open /admin/execution after authorized login</x:v>
      </x:c>
      <x:c r="J8" s="28" t="str">
        <x:v>No authorized session</x:v>
      </x:c>
      <x:c r="K8" s="28" t="str">
        <x:v>Visit eligibility cannot be certified</x:v>
      </x:c>
      <x:c r="L8" s="28" t="str">
        <x:v>Blocks prepare/travel/start</x:v>
      </x:c>
      <x:c r="M8" s="28" t="str">
        <x:v>Core</x:v>
      </x:c>
      <x:c r="N8" s="28" t="str">
        <x:v>Configuration state inaccessible</x:v>
      </x:c>
      <x:c r="O8" s="28" t="str">
        <x:v>Admin route source</x:v>
      </x:c>
      <x:c r="P8" s="28" t="str">
        <x:v>Full stack</x:v>
      </x:c>
      <x:c r="Q8" s="28" t="str">
        <x:v>P0</x:v>
      </x:c>
      <x:c r="R8" s="28" t="str">
        <x:v>None</x:v>
      </x:c>
      <x:c r="S8" s="28" t="str">
        <x:v>Provide approved values/versions and runtime evidence</x:v>
      </x:c>
      <x:c r="T8" s="28" t="str">
        <x:v>Active config version drives server validation and UI guidance</x:v>
      </x:c>
      <x:c r="U8" s="28" t="str">
        <x:v>https://github.com/Vikram-Indla/Inspection/blob/ada62124c5f8c8066cec397dc70fab31be9b0c7d/apps/web/src/app/admin/execution/page.tsx</x:v>
      </x:c>
      <x:c r="V8" s="28" t="str">
        <x:v>https://github.com/Vikram-Indla/Inspection/blob/ada62124c5f8c8066cec397dc70fab31be9b0c7d/apps/web/src/app/admin/execution/page.tsx</x:v>
      </x:c>
      <x:c r="W8" s="28" t="str"/>
      <x:c r="X8" s="28" t="str">
        <x:v>Open</x:v>
      </x:c>
      <x:c r="Y8" s="28" t="str">
        <x:v>Medium</x:v>
      </x:c>
    </x:row>
    <x:row r="9" ht="30" customHeight="1">
      <x:c r="A9" s="28" t="str">
        <x:v>BP-005</x:v>
      </x:c>
      <x:c r="B9" s="28" t="str">
        <x:v>JRN-PLANNER-SINGLE-001</x:v>
      </x:c>
      <x:c r="C9" s="28" t="str">
        <x:v>Target selection</x:v>
      </x:c>
      <x:c r="D9" s="28" t="str">
        <x:v>Planner</x:v>
      </x:c>
      <x:c r="E9" s="28" t="str">
        <x:v>Data quality</x:v>
      </x:c>
      <x:c r="F9" s="28" t="str">
        <x:v>Factory master data materially sparse</x:v>
      </x:c>
      <x:c r="G9" s="28" t="str">
        <x:v>Planner sees legally and geographically complete canonical target</x:v>
      </x:c>
      <x:c r="H9" s="28" t="str">
        <x:v>100% factories missing legal_name/license_status/cr_status/license_holder; 21% lack official coordinates</x:v>
      </x:c>
      <x:c r="I9" s="28" t="str">
        <x:v>Read CURRENT_DATA_QUALITY_REPORT</x:v>
      </x:c>
      <x:c r="J9" s="28" t="str">
        <x:v>Live staging read-only profile</x:v>
      </x:c>
      <x:c r="K9" s="28" t="str">
        <x:v>Incorrect/incomplete planning decisions</x:v>
      </x:c>
      <x:c r="L9" s="28" t="str">
        <x:v>May block or weaken visit validity</x:v>
      </x:c>
      <x:c r="M9" s="28" t="str">
        <x:v>Large population</x:v>
      </x:c>
      <x:c r="N9" s="28" t="str">
        <x:v>Import/backfill incomplete</x:v>
      </x:c>
      <x:c r="O9" s="28" t="str">
        <x:v>DQ-007..010</x:v>
      </x:c>
      <x:c r="P9" s="28" t="str">
        <x:v>Database/Integration</x:v>
      </x:c>
      <x:c r="Q9" s="28" t="str">
        <x:v>P0</x:v>
      </x:c>
      <x:c r="R9" s="28" t="str">
        <x:v>Manual source verification</x:v>
      </x:c>
      <x:c r="S9" s="28" t="str">
        <x:v>Backfill canonical identity/location with provenance and hard-gate incomplete targets</x:v>
      </x:c>
      <x:c r="T9" s="28" t="str">
        <x:v>Selected target has required canonical identifiers, valid licence/CR and confirmed coordinates</x:v>
      </x:c>
      <x:c r="U9" s="28" t="str">
        <x:v>https://github.com/Vikram-Indla/Inspection/blob/ada62124c5f8c8066cec397dc70fab31be9b0c7d/product-contract/seeding-discovery/CURRENT_DATA_QUALITY_REPORT.md</x:v>
      </x:c>
      <x:c r="V9" s="28" t="str">
        <x:v>https://github.com/Vikram-Indla/Inspection/blob/ada62124c5f8c8066cec397dc70fab31be9b0c7d/product-contract/seeding-discovery/CURRENT_DATA_QUALITY_REPORT.md</x:v>
      </x:c>
      <x:c r="W9" s="28" t="str"/>
      <x:c r="X9" s="28" t="str">
        <x:v>Open</x:v>
      </x:c>
      <x:c r="Y9" s="28" t="str">
        <x:v>High</x:v>
      </x:c>
    </x:row>
    <x:row r="10" ht="30" customHeight="1">
      <x:c r="A10" s="28" t="str">
        <x:v>BP-006</x:v>
      </x:c>
      <x:c r="B10" s="28" t="str">
        <x:v>JRN-PLANNER-SINGLE-001</x:v>
      </x:c>
      <x:c r="C10" s="28" t="str">
        <x:v>Publish</x:v>
      </x:c>
      <x:c r="D10" s="28" t="str">
        <x:v>Planner</x:v>
      </x:c>
      <x:c r="E10" s="28" t="str">
        <x:v>Atomicity</x:v>
      </x:c>
      <x:c r="F10" s="28" t="str">
        <x:v>Single-visit publish is not proven atomic</x:v>
      </x:c>
      <x:c r="G10" s="28" t="str">
        <x:v>One intent creates exactly one plan, visit, assignment, all package snapshots, audit and notification</x:v>
      </x:c>
      <x:c r="H10" s="28" t="str">
        <x:v>Planning Blueprint states current path commits core records before some provenance/secondary package links</x:v>
      </x:c>
      <x:c r="I10" s="28" t="str">
        <x:v>Review Drive Planning Blueprint</x:v>
      </x:c>
      <x:c r="J10" s="28" t="str">
        <x:v>Valid planner scenario absent</x:v>
      </x:c>
      <x:c r="K10" s="28" t="str">
        <x:v>Orphan/partial visit handoff risk</x:v>
      </x:c>
      <x:c r="L10" s="28" t="str">
        <x:v>Can block execution or create inconsistent records</x:v>
      </x:c>
      <x:c r="M10" s="28" t="str">
        <x:v>Core planning</x:v>
      </x:c>
      <x:c r="N10" s="28" t="str">
        <x:v>Transaction boundary incomplete/unverified</x:v>
      </x:c>
      <x:c r="O10" s="28" t="str">
        <x:v>Drive Planning Blueprint</x:v>
      </x:c>
      <x:c r="P10" s="28" t="str">
        <x:v>Backend/DB</x:v>
      </x:c>
      <x:c r="Q10" s="28" t="str">
        <x:v>P0</x:v>
      </x:c>
      <x:c r="R10" s="28" t="str">
        <x:v>Visible recovery only if implemented</x:v>
      </x:c>
      <x:c r="S10" s="28" t="str">
        <x:v>Move all writes into atomic idempotent command or block handoff in explicit recovery state</x:v>
      </x:c>
      <x:c r="T10" s="28" t="str">
        <x:v>Forced failure leaves no partial executable visit; retry creates no duplicate</x:v>
      </x:c>
      <x:c r="U10" s="28" t="str">
        <x:v>https://github.com/Vikram-Indla/Inspection/blob/ada62124c5f8c8066cec397dc70fab31be9b0c7d/product-contract/operationalization/PLANNING_CLOSURE_P0_TRACE.csv</x:v>
      </x:c>
      <x:c r="V10" s="28" t="str">
        <x:v>https://github.com/Vikram-Indla/Inspection/blob/ada62124c5f8c8066cec397dc70fab31be9b0c7d/product-contract/operationalization/PLANNING_CLOSURE_P0_TRACE.csv</x:v>
      </x:c>
      <x:c r="W10" s="28" t="str"/>
      <x:c r="X10" s="28" t="str">
        <x:v>Open</x:v>
      </x:c>
      <x:c r="Y10" s="28" t="str">
        <x:v>High</x:v>
      </x:c>
    </x:row>
    <x:row r="11" ht="30" customHeight="1">
      <x:c r="A11" s="28" t="str">
        <x:v>BP-009</x:v>
      </x:c>
      <x:c r="B11" s="28" t="str">
        <x:v>JRN-INSPECTOR-PREP-001</x:v>
      </x:c>
      <x:c r="C11" s="28" t="str">
        <x:v>Prepare visit</x:v>
      </x:c>
      <x:c r="D11" s="28" t="str">
        <x:v>Inspector</x:v>
      </x:c>
      <x:c r="E11" s="28" t="str">
        <x:v>Prerequisite</x:v>
      </x:c>
      <x:c r="F11" s="28" t="str">
        <x:v>Inspector preparation cannot be executed or verified</x:v>
      </x:c>
      <x:c r="G11" s="28" t="str">
        <x:v>Assigned inspector selects required date/mode/package and confirms readiness</x:v>
      </x:c>
      <x:c r="H11" s="28" t="str">
        <x:v>Authentication and PWA-only boundary prevent runtime evidence</x:v>
      </x:c>
      <x:c r="I11" s="28" t="str">
        <x:v>Attempt inspector sign-in</x:v>
      </x:c>
      <x:c r="J11" s="28" t="str">
        <x:v>Credential rejected</x:v>
      </x:c>
      <x:c r="K11" s="28" t="str">
        <x:v>No valid visit can be proven executable</x:v>
      </x:c>
      <x:c r="L11" s="28" t="str">
        <x:v>Blocks core visit</x:v>
      </x:c>
      <x:c r="M11" s="28" t="str">
        <x:v>Core</x:v>
      </x:c>
      <x:c r="N11" s="28" t="str">
        <x:v>Safe inspector session absent</x:v>
      </x:c>
      <x:c r="O11" s="28" t="str">
        <x:v>SCR-002</x:v>
      </x:c>
      <x:c r="P11" s="28" t="str">
        <x:v>Frontend/Auth</x:v>
      </x:c>
      <x:c r="Q11" s="28" t="str">
        <x:v>P0</x:v>
      </x:c>
      <x:c r="R11" s="28" t="str">
        <x:v>Static reconstruction only</x:v>
      </x:c>
      <x:c r="S11" s="28" t="str">
        <x:v>Provide safe inspector fixture and desktop/shared-route acceptance path</x:v>
      </x:c>
      <x:c r="T11" s="28" t="str">
        <x:v>Assigned visit visible; missing package/config handled; readiness persists</x:v>
      </x:c>
      <x:c r="U11" s="28" t="str">
        <x:v>https://github.com/Vikram-Indla/Inspection/blob/ada62124c5f8c8066cec397dc70fab31be9b0c7d/apps/web/src/app/(app)/field/[visitId]/page.tsx</x:v>
      </x:c>
      <x:c r="V11" s="28" t="str">
        <x:v>https://github.com/Vikram-Indla/Inspection/blob/ada62124c5f8c8066cec397dc70fab31be9b0c7d/apps/web/src/app/(app)/field/[visitId]/page.tsx</x:v>
      </x:c>
      <x:c r="W11" s="28" t="str">
        <x:v>SCR-002</x:v>
      </x:c>
      <x:c r="X11" s="28" t="str">
        <x:v>Open</x:v>
      </x:c>
      <x:c r="Y11" s="28" t="str">
        <x:v>High</x:v>
      </x:c>
    </x:row>
    <x:row r="12" ht="30" customHeight="1">
      <x:c r="A12" s="28" t="str">
        <x:v>BP-010</x:v>
      </x:c>
      <x:c r="B12" s="28" t="str">
        <x:v>JRN-INSPECTOR-TRAVEL-001</x:v>
      </x:c>
      <x:c r="C12" s="28" t="str">
        <x:v>Arrival</x:v>
      </x:c>
      <x:c r="D12" s="28" t="str">
        <x:v>Inspector</x:v>
      </x:c>
      <x:c r="E12" s="28" t="str">
        <x:v>Data integrity</x:v>
      </x:c>
      <x:c r="F12" s="28" t="str">
        <x:v>Arrival evidence linkage is ambiguous</x:v>
      </x:c>
      <x:c r="G12" s="28" t="str">
        <x:v>Every arrival evidence links to canonical geo/journey event</x:v>
      </x:c>
      <x:c r="H12" s="28" t="str">
        <x:v>12 of 32 arrival evidence linked_id values resolve to neither geo_events nor journey_sessions</x:v>
      </x:c>
      <x:c r="I12" s="28" t="str">
        <x:v>Read DQ-013</x:v>
      </x:c>
      <x:c r="J12" s="28" t="str">
        <x:v>Live staging</x:v>
      </x:c>
      <x:c r="K12" s="28" t="str">
        <x:v>Auditability of arrival proof weakened</x:v>
      </x:c>
      <x:c r="L12" s="28" t="str">
        <x:v>Affects legal/operational completeness</x:v>
      </x:c>
      <x:c r="M12" s="28" t="str">
        <x:v>Observed records</x:v>
      </x:c>
      <x:c r="N12" s="28" t="str">
        <x:v>Secondary linkage semantics inconsistent</x:v>
      </x:c>
      <x:c r="O12" s="28" t="str">
        <x:v>DQ-013</x:v>
      </x:c>
      <x:c r="P12" s="28" t="str">
        <x:v>Database</x:v>
      </x:c>
      <x:c r="Q12" s="28" t="str">
        <x:v>P1</x:v>
      </x:c>
      <x:c r="R12" s="28" t="str">
        <x:v>visit_id remains anchor</x:v>
      </x:c>
      <x:c r="S12" s="28" t="str">
        <x:v>Define and enforce arrival linked_type/linked_id FK semantics; migrate/quarantine invalid rows</x:v>
      </x:c>
      <x:c r="T12" s="28" t="str">
        <x:v>All arrival evidence resolves to one canonical event and negative inserts fail</x:v>
      </x:c>
      <x:c r="U12" s="28" t="str">
        <x:v>https://github.com/Vikram-Indla/Inspection/blob/ada62124c5f8c8066cec397dc70fab31be9b0c7d/product-contract/seeding-discovery/CURRENT_DATA_QUALITY_REPORT.md</x:v>
      </x:c>
      <x:c r="V12" s="28" t="str">
        <x:v>https://github.com/Vikram-Indla/Inspection/blob/ada62124c5f8c8066cec397dc70fab31be9b0c7d/product-contract/seeding-discovery/CURRENT_DATA_QUALITY_REPORT.md</x:v>
      </x:c>
      <x:c r="W12" s="28" t="str"/>
      <x:c r="X12" s="28" t="str">
        <x:v>Open</x:v>
      </x:c>
      <x:c r="Y12" s="28" t="str">
        <x:v>High</x:v>
      </x:c>
    </x:row>
    <x:row r="13" ht="30" customHeight="1">
      <x:c r="A13" s="28" t="str">
        <x:v>BP-014</x:v>
      </x:c>
      <x:c r="B13" s="28" t="str">
        <x:v>JRN-REVIEWER-DECIDE-001</x:v>
      </x:c>
      <x:c r="C13" s="28" t="str">
        <x:v>Approval</x:v>
      </x:c>
      <x:c r="D13" s="28" t="str">
        <x:v>Reviewer</x:v>
      </x:c>
      <x:c r="E13" s="28" t="str">
        <x:v>Workflow integrity</x:v>
      </x:c>
      <x:c r="F13" s="28" t="str">
        <x:v>Approved inspection exists without submission version or review</x:v>
      </x:c>
      <x:c r="G13" s="28" t="str">
        <x:v>Approval requires immutable submission version and governed review decision</x:v>
      </x:c>
      <x:c r="H13" s="28" t="str">
        <x:v>Inspection 97000000-...0002 is approved with zero submission_versions and zero reviews</x:v>
      </x:c>
      <x:c r="I13" s="28" t="str">
        <x:v>Read DQ-011/DQ-012</x:v>
      </x:c>
      <x:c r="J13" s="28" t="str">
        <x:v>Live staging</x:v>
      </x:c>
      <x:c r="K13" s="28" t="str">
        <x:v>Unverifiable approval record; regulatory risk</x:v>
      </x:c>
      <x:c r="L13" s="28" t="str">
        <x:v>Core lifecycle integrity</x:v>
      </x:c>
      <x:c r="M13" s="28" t="str">
        <x:v>Confirmed record</x:v>
      </x:c>
      <x:c r="N13" s="28" t="str">
        <x:v>Status was bypassed or historical fixture violates guards</x:v>
      </x:c>
      <x:c r="O13" s="28" t="str">
        <x:v>DQ-011/DQ-012</x:v>
      </x:c>
      <x:c r="P13" s="28" t="str">
        <x:v>Database/Workflow</x:v>
      </x:c>
      <x:c r="Q13" s="28" t="str">
        <x:v>P0</x:v>
      </x:c>
      <x:c r="R13" s="28" t="str">
        <x:v>Quarantine record</x:v>
      </x:c>
      <x:c r="S13" s="28" t="str">
        <x:v>Prevent direct status mutation, enforce transition function/constraints, repair or quarantine record</x:v>
      </x:c>
      <x:c r="T13" s="28" t="str">
        <x:v>No approval possible without immutable version and authorized review; direct update denied</x:v>
      </x:c>
      <x:c r="U13" s="28" t="str">
        <x:v>https://github.com/Vikram-Indla/Inspection/blob/ada62124c5f8c8066cec397dc70fab31be9b0c7d/product-contract/seeding-discovery/CURRENT_DATA_QUALITY_REPORT.md</x:v>
      </x:c>
      <x:c r="V13" s="28" t="str">
        <x:v>https://github.com/Vikram-Indla/Inspection/blob/ada62124c5f8c8066cec397dc70fab31be9b0c7d/product-contract/seeding-discovery/CURRENT_DATA_QUALITY_REPORT.md</x:v>
      </x:c>
      <x:c r="W13" s="28" t="str"/>
      <x:c r="X13" s="28" t="str">
        <x:v>Open</x:v>
      </x:c>
      <x:c r="Y13" s="28" t="str">
        <x:v>High</x:v>
      </x:c>
    </x:row>
    <x:row r="14" ht="30" customHeight="1">
      <x:c r="A14" s="28" t="str">
        <x:v>BP-016</x:v>
      </x:c>
      <x:c r="B14" s="28" t="str">
        <x:v>JRN-CA-RESPOND-001</x:v>
      </x:c>
      <x:c r="C14" s="28" t="str">
        <x:v>Owner response</x:v>
      </x:c>
      <x:c r="D14" s="28" t="str">
        <x:v>Corrective-action Owner</x:v>
      </x:c>
      <x:c r="E14" s="28" t="str">
        <x:v>Missing capability</x:v>
      </x:c>
      <x:c r="F14" s="28" t="str">
        <x:v>Dedicated corrective-action owner journey not found</x:v>
      </x:c>
      <x:c r="G14" s="28" t="str">
        <x:v>Assigned owner can view obligation, submit evidence, receive return/acceptance and close</x:v>
      </x:c>
      <x:c r="H14" s="28" t="str">
        <x:v>/cases supports staff opening; owner auth/surface/assignment not proven</x:v>
      </x:c>
      <x:c r="I14" s="28" t="str">
        <x:v>Search routes, roles and case actions</x:v>
      </x:c>
      <x:c r="J14" s="28" t="str">
        <x:v>Static repo</x:v>
      </x:c>
      <x:c r="K14" s="28" t="str">
        <x:v>Corrective action cannot be shown end-to-end</x:v>
      </x:c>
      <x:c r="L14" s="28" t="str">
        <x:v>Blocks closure/follow-up</x:v>
      </x:c>
      <x:c r="M14" s="28" t="str">
        <x:v>Platform gap</x:v>
      </x:c>
      <x:c r="N14" s="28" t="str">
        <x:v>Persona/surface missing or undocumented</x:v>
      </x:c>
      <x:c r="O14" s="28" t="str">
        <x:v>Route and schema inventory</x:v>
      </x:c>
      <x:c r="P14" s="28" t="str">
        <x:v>Frontend/Auth/Workflow</x:v>
      </x:c>
      <x:c r="Q14" s="28" t="str">
        <x:v>P1</x:v>
      </x:c>
      <x:c r="R14" s="28" t="str">
        <x:v>Manual off-platform process likely</x:v>
      </x:c>
      <x:c r="S14" s="28" t="str">
        <x:v>Define owner identity, assignment, portal, evidence, decisions, notifications and audit</x:v>
      </x:c>
      <x:c r="T14" s="28" t="str">
        <x:v>Owner-only test completes correction and unauthorized users denied</x:v>
      </x:c>
      <x:c r="U14" s="28" t="str">
        <x:v>apps/web/src/app/(app)/cases/actions.ts</x:v>
      </x:c>
      <x:c r="V14" s="28" t="str">
        <x:v>https://github.com/Vikram-Indla/Inspection/blob/ada62124c5f8c8066cec397dc70fab31be9b0c7d/apps/web/src/app/(app)/cases/actions.ts</x:v>
      </x:c>
      <x:c r="W14" s="28" t="str"/>
      <x:c r="X14" s="28" t="str">
        <x:v>Open</x:v>
      </x:c>
      <x:c r="Y14" s="28" t="str">
        <x:v>Medium</x:v>
      </x:c>
    </x:row>
    <x:row r="15" ht="30" customHeight="1">
      <x:c r="A15" s="28" t="str">
        <x:v>BP-019</x:v>
      </x:c>
      <x:c r="B15" s="28" t="str">
        <x:v>JRN-EXEC-DASH-001</x:v>
      </x:c>
      <x:c r="C15" s="28" t="str">
        <x:v>Dashboard</x:v>
      </x:c>
      <x:c r="D15" s="28" t="str">
        <x:v>Leadership</x:v>
      </x:c>
      <x:c r="E15" s="28" t="str">
        <x:v>Configuration/Data</x:v>
      </x:c>
      <x:c r="F15" s="28" t="str">
        <x:v>No published dashboard configuration</x:v>
      </x:c>
      <x:c r="G15" s="28" t="str">
        <x:v>KPI engine reads governed published parameters</x:v>
      </x:c>
      <x:c r="H15" s="28" t="str">
        <x:v>dashboard_config_heads, parameters and versions are all empty</x:v>
      </x:c>
      <x:c r="I15" s="28" t="str">
        <x:v>Read DQ-014</x:v>
      </x:c>
      <x:c r="J15" s="28" t="str">
        <x:v>Live staging</x:v>
      </x:c>
      <x:c r="K15" s="28" t="str">
        <x:v>Leadership metrics unavailable or cannot be governed</x:v>
      </x:c>
      <x:c r="L15" s="28" t="str">
        <x:v>Reporting outcome broken</x:v>
      </x:c>
      <x:c r="M15" s="28" t="str">
        <x:v>Platform-wide dashboard</x:v>
      </x:c>
      <x:c r="N15" s="28" t="str">
        <x:v>Missing seed/config publication</x:v>
      </x:c>
      <x:c r="O15" s="28" t="str">
        <x:v>DQ-014</x:v>
      </x:c>
      <x:c r="P15" s="28" t="str">
        <x:v>Database/Configuration</x:v>
      </x:c>
      <x:c r="Q15" s="28" t="str">
        <x:v>P1</x:v>
      </x:c>
      <x:c r="R15" s="28" t="str">
        <x:v>Unavailable state only</x:v>
      </x:c>
      <x:c r="S15" s="28" t="str">
        <x:v>Publish governed KPI configuration without inventing targets</x:v>
      </x:c>
      <x:c r="T15" s="28" t="str">
        <x:v>Dashboard shows source-backed metrics or explicit unavailable state; config version auditable</x:v>
      </x:c>
      <x:c r="U15" s="28" t="str">
        <x:v>https://github.com/Vikram-Indla/Inspection/blob/ada62124c5f8c8066cec397dc70fab31be9b0c7d/product-contract/seeding-discovery/CURRENT_DATA_QUALITY_REPORT.md</x:v>
      </x:c>
      <x:c r="V15" s="28" t="str">
        <x:v>https://github.com/Vikram-Indla/Inspection/blob/ada62124c5f8c8066cec397dc70fab31be9b0c7d/product-contract/seeding-discovery/CURRENT_DATA_QUALITY_REPORT.md</x:v>
      </x:c>
      <x:c r="W15" s="28" t="str"/>
      <x:c r="X15" s="28" t="str">
        <x:v>Open</x:v>
      </x:c>
      <x:c r="Y15" s="28" t="str">
        <x:v>High</x:v>
      </x:c>
    </x:row>
    <x:row r="16" ht="30" customHeight="1">
      <x:c r="A16" s="28" t="str">
        <x:v>BP-021</x:v>
      </x:c>
      <x:c r="B16" s="28" t="str">
        <x:v>JRN-SYSTEM-NOTIFY-001</x:v>
      </x:c>
      <x:c r="C16" s="28" t="str">
        <x:v>Notification</x:v>
      </x:c>
      <x:c r="D16" s="28" t="str">
        <x:v>System</x:v>
      </x:c>
      <x:c r="E16" s="28" t="str">
        <x:v>Notification</x:v>
      </x:c>
      <x:c r="F16" s="28" t="str">
        <x:v>Persona preference/delivery paths not fully testable</x:v>
      </x:c>
      <x:c r="G16" s="28" t="str">
        <x:v>Each persona has explicit preferences and delivery receipts</x:v>
      </x:c>
      <x:c r="H16" s="28" t="str">
        <x:v>Only 1 of 8 profiles has notification_preferences; provider delivery not verified</x:v>
      </x:c>
      <x:c r="I16" s="28" t="str">
        <x:v>Read DQ-016</x:v>
      </x:c>
      <x:c r="J16" s="28" t="str">
        <x:v>Live staging</x:v>
      </x:c>
      <x:c r="K16" s="28" t="str">
        <x:v>Assignment/review/follow-up notices may be missed</x:v>
      </x:c>
      <x:c r="L16" s="28" t="str">
        <x:v>Handoff reliability risk</x:v>
      </x:c>
      <x:c r="M16" s="28" t="str">
        <x:v>Most personas</x:v>
      </x:c>
      <x:c r="N16" s="28" t="str">
        <x:v>Incomplete profile configuration</x:v>
      </x:c>
      <x:c r="O16" s="28" t="str">
        <x:v>DQ-016</x:v>
      </x:c>
      <x:c r="P16" s="28" t="str">
        <x:v>Database/Integration</x:v>
      </x:c>
      <x:c r="Q16" s="28" t="str">
        <x:v>P1</x:v>
      </x:c>
      <x:c r="R16" s="28" t="str">
        <x:v>In-app polling may exist but unproven</x:v>
      </x:c>
      <x:c r="S16" s="28" t="str">
        <x:v>Seed/configure preferences and exercise queued/suppressed/failed/retry paths</x:v>
      </x:c>
      <x:c r="T16" s="28" t="str">
        <x:v>All material events show correct recipient, preference decision and delivery/failed receipt</x:v>
      </x:c>
      <x:c r="U16" s="28" t="str">
        <x:v>https://github.com/Vikram-Indla/Inspection/blob/ada62124c5f8c8066cec397dc70fab31be9b0c7d/product-contract/seeding-discovery/CURRENT_DATA_QUALITY_REPORT.md</x:v>
      </x:c>
      <x:c r="V16" s="28" t="str">
        <x:v>https://github.com/Vikram-Indla/Inspection/blob/ada62124c5f8c8066cec397dc70fab31be9b0c7d/product-contract/seeding-discovery/CURRENT_DATA_QUALITY_REPORT.md</x:v>
      </x:c>
      <x:c r="W16" s="28" t="str"/>
      <x:c r="X16" s="28" t="str">
        <x:v>Open</x:v>
      </x:c>
      <x:c r="Y16" s="28" t="str">
        <x:v>High</x:v>
      </x:c>
    </x:row>
    <x:row r="17" ht="30" customHeight="1">
      <x:c r="A17" s="28" t="str">
        <x:v>BP-022</x:v>
      </x:c>
      <x:c r="B17" s="28" t="str">
        <x:v>JRN-SYSTEM-INTEGRATE-001</x:v>
      </x:c>
      <x:c r="C17" s="28" t="str">
        <x:v>External submission</x:v>
      </x:c>
      <x:c r="D17" s="28" t="str">
        <x:v>System</x:v>
      </x:c>
      <x:c r="E17" s="28" t="str">
        <x:v>Integration/Governance</x:v>
      </x:c>
      <x:c r="F17" s="28" t="str">
        <x:v>Senaei inspection forwarding blocked by trigger decision</x:v>
      </x:c>
      <x:c r="G17" s="28" t="str">
        <x:v>Submitted inspection is forwarded under approved trigger and receives provider receipt</x:v>
      </x:c>
      <x:c r="H17" s="28" t="str">
        <x:v>Adapter deliberately returns BLOCKED_TRIGGER_DECISION</x:v>
      </x:c>
      <x:c r="I17" s="28" t="str">
        <x:v>Inspect adapter</x:v>
      </x:c>
      <x:c r="J17" s="28" t="str">
        <x:v>Governance reference required</x:v>
      </x:c>
      <x:c r="K17" s="28" t="str">
        <x:v>External authority not updated</x:v>
      </x:c>
      <x:c r="L17" s="28" t="str">
        <x:v>Blocks external completion if mandatory</x:v>
      </x:c>
      <x:c r="M17" s="28" t="str">
        <x:v>Integration</x:v>
      </x:c>
      <x:c r="N17" s="28" t="str">
        <x:v>Governed trigger not decided</x:v>
      </x:c>
      <x:c r="O17" s="28" t="str">
        <x:v>Adapter constant and message</x:v>
      </x:c>
      <x:c r="P17" s="28" t="str">
        <x:v>Integration</x:v>
      </x:c>
      <x:c r="Q17" s="28" t="str">
        <x:v>P1</x:v>
      </x:c>
      <x:c r="R17" s="28" t="str">
        <x:v>Local prepared payload only</x:v>
      </x:c>
      <x:c r="S17" s="28" t="str">
        <x:v>Approve trigger semantics, implement secure delivery/retry/receipt and negative tests</x:v>
      </x:c>
      <x:c r="T17" s="28" t="str">
        <x:v>Authorized event sends once; failures retry safely; receipt linked to inspection</x:v>
      </x:c>
      <x:c r="U17" s="28" t="str">
        <x:v>https://github.com/Vikram-Indla/Inspection/blob/ada62124c5f8c8066cec397dc70fab31be9b0c7d/apps/web/src/lib/integrations/senaei/adapters/inspection-submission.ts</x:v>
      </x:c>
      <x:c r="V17" s="28" t="str">
        <x:v>https://github.com/Vikram-Indla/Inspection/blob/ada62124c5f8c8066cec397dc70fab31be9b0c7d/apps/web/src/lib/integrations/senaei/adapters/inspection-submission.ts</x:v>
      </x:c>
      <x:c r="W17" s="28" t="str"/>
      <x:c r="X17" s="28" t="str">
        <x:v>Open</x:v>
      </x:c>
      <x:c r="Y17" s="28" t="str">
        <x:v>High</x:v>
      </x:c>
    </x:row>
  </x:sheetData>
  <x:mergeCells>
    <x:mergeCell ref="A1:Y1"/>
  </x:mergeCells>
  <x:pageMargins left="0.7" right="0.7" top="0.75" bottom="0.75" header="0.3" footer="0.3"/>
  <x:tableParts count="1">
    <x:tablePart xmlns:r="http://schemas.openxmlformats.org/officeDocument/2006/relationships" r:id="R37b0816f9e3642d5"/>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13" hidden="0" customWidth="1"/>
    <x:col min="2" max="2" width="12" hidden="0" customWidth="1"/>
    <x:col min="3" max="3" width="12" hidden="0" customWidth="1"/>
    <x:col min="4" max="4" width="12" hidden="0" customWidth="1"/>
    <x:col min="5" max="5" width="23" hidden="0" customWidth="1"/>
    <x:col min="6" max="6" width="12" hidden="0" customWidth="1"/>
    <x:col min="7" max="7" width="12" hidden="0" customWidth="1"/>
    <x:col min="8" max="8" width="20" hidden="0" customWidth="1"/>
    <x:col min="9" max="9" width="17" hidden="0" customWidth="1"/>
    <x:col min="10" max="10" width="23" hidden="0" customWidth="1"/>
    <x:col min="11" max="11" width="16" hidden="0" customWidth="1"/>
    <x:col min="12" max="12" width="22" hidden="0" customWidth="1"/>
    <x:col min="13" max="13" width="14" hidden="0" customWidth="1"/>
    <x:col min="14" max="14" width="23" hidden="0" customWidth="1"/>
    <x:col min="15" max="15" width="19" hidden="0" customWidth="1"/>
    <x:col min="16" max="16" width="12" hidden="0" customWidth="1"/>
  </x:cols>
  <x:sheetData>
    <x:row r="1" ht="30" customHeight="1">
      <x:c r="A1" s="24" t="str">
        <x:v>12 TENSIONS AND BOTTLENECKS</x:v>
      </x:c>
      <x:c r="B1" s="25"/>
      <x:c r="C1" s="25"/>
      <x:c r="D1" s="25"/>
      <x:c r="E1" s="25"/>
      <x:c r="F1" s="25"/>
      <x:c r="G1" s="25"/>
      <x:c r="H1" s="25"/>
      <x:c r="I1" s="25"/>
      <x:c r="J1" s="25"/>
      <x:c r="K1" s="25"/>
      <x:c r="L1" s="25"/>
      <x:c r="M1" s="25"/>
      <x:c r="N1" s="25"/>
      <x:c r="O1" s="25"/>
      <x:c r="P1" s="25"/>
    </x:row>
    <x:row r="2" ht="30" customHeight="1">
      <x:c r="A2" s="26" t="str">
        <x:v>Audit snapshot · 2026-07-30 (Asia/Riyadh) · commit ada62124</x:v>
      </x:c>
      <x:c r="B2" s="26" t="str"/>
      <x:c r="C2" s="26" t="str"/>
      <x:c r="D2" s="26" t="str"/>
      <x:c r="E2" s="26" t="str"/>
      <x:c r="F2" s="26" t="str"/>
      <x:c r="G2" s="26" t="str"/>
      <x:c r="H2" s="26" t="str"/>
      <x:c r="I2" s="26" t="str"/>
      <x:c r="J2" s="26" t="str"/>
      <x:c r="K2" s="26" t="str"/>
      <x:c r="L2" s="26" t="str"/>
      <x:c r="M2" s="26" t="str"/>
      <x:c r="N2" s="26" t="str"/>
      <x:c r="O2" s="26" t="str"/>
      <x:c r="P2" s="26" t="str"/>
    </x:row>
    <x:row r="3" ht="30" customHeight="1">
      <x:c r="A3" s="25"/>
      <x:c r="B3" s="25"/>
      <x:c r="C3" s="25"/>
      <x:c r="D3" s="25"/>
      <x:c r="E3" s="25"/>
      <x:c r="F3" s="25"/>
      <x:c r="G3" s="25"/>
      <x:c r="H3" s="25"/>
      <x:c r="I3" s="25"/>
      <x:c r="J3" s="25"/>
      <x:c r="K3" s="25"/>
      <x:c r="L3" s="25"/>
      <x:c r="M3" s="25"/>
      <x:c r="N3" s="25"/>
      <x:c r="O3" s="25"/>
      <x:c r="P3" s="25"/>
    </x:row>
    <x:row r="4" ht="30" customHeight="1">
      <x:c r="A4" s="27" t="str">
        <x:v>Tension ID</x:v>
      </x:c>
      <x:c r="B4" s="27" t="str">
        <x:v>Journey</x:v>
      </x:c>
      <x:c r="C4" s="27" t="str">
        <x:v>Persona</x:v>
      </x:c>
      <x:c r="D4" s="27" t="str">
        <x:v>Step</x:v>
      </x:c>
      <x:c r="E4" s="27" t="str">
        <x:v>Friction description</x:v>
      </x:c>
      <x:c r="F4" s="27" t="str">
        <x:v>Trigger</x:v>
      </x:c>
      <x:c r="G4" s="27" t="str">
        <x:v>Frequency</x:v>
      </x:c>
      <x:c r="H4" s="27" t="str">
        <x:v>Extra clicks/time</x:v>
      </x:c>
      <x:c r="I4" s="27" t="str">
        <x:v>Cognitive load</x:v>
      </x:c>
      <x:c r="J4" s="27" t="str">
        <x:v>Duplicate data entry</x:v>
      </x:c>
      <x:c r="K4" s="27" t="str">
        <x:v>Handoff delay</x:v>
      </x:c>
      <x:c r="L4" s="27" t="str">
        <x:v>Ownership ambiguity</x:v>
      </x:c>
      <x:c r="M4" s="27" t="str">
        <x:v>Consequence</x:v>
      </x:c>
      <x:c r="N4" s="27" t="str">
        <x:v>Recommended redesign</x:v>
      </x:c>
      <x:c r="O4" s="27" t="str">
        <x:v>Expected benefit</x:v>
      </x:c>
      <x:c r="P4" s="27" t="str">
        <x:v>Evidence</x:v>
      </x:c>
    </x:row>
    <x:row r="5" ht="30" customHeight="1">
      <x:c r="A5" s="28" t="str">
        <x:v>TEN-001</x:v>
      </x:c>
      <x:c r="B5" s="28" t="str">
        <x:v>JRN-ADMIN-IAM-001</x:v>
      </x:c>
      <x:c r="C5" s="28" t="str">
        <x:v>All human personas</x:v>
      </x:c>
      <x:c r="D5" s="28" t="str">
        <x:v>Login</x:v>
      </x:c>
      <x:c r="E5" s="28" t="str">
        <x:v>Field says National ID / staff number but this path is explicitly unavailable</x:v>
      </x:c>
      <x:c r="F5" s="28" t="str">
        <x:v>Staff-number entry</x:v>
      </x:c>
      <x:c r="G5" s="28" t="str">
        <x:v>Every sign-in attempt using staff number</x:v>
      </x:c>
      <x:c r="H5" s="28" t="str">
        <x:v>1 failed attempt plus switch to email</x:v>
      </x:c>
      <x:c r="I5" s="28" t="str">
        <x:v>High</x:v>
      </x:c>
      <x:c r="J5" s="28" t="str">
        <x:v>Yes: user must know alternate email</x:v>
      </x:c>
      <x:c r="K5" s="28" t="str">
        <x:v>Identity support delay</x:v>
      </x:c>
      <x:c r="L5" s="28" t="str">
        <x:v>Unclear</x:v>
      </x:c>
      <x:c r="M5" s="28" t="str">
        <x:v>Users cannot enter product</x:v>
      </x:c>
      <x:c r="N5" s="28" t="str">
        <x:v>Either enable approved directory contract or label the field as work email until enabled</x:v>
      </x:c>
      <x:c r="O5" s="28" t="str">
        <x:v>Lower failure and support burden</x:v>
      </x:c>
      <x:c r="P5" s="28" t="str">
        <x:v>SCR-001;SCR-002</x:v>
      </x:c>
    </x:row>
    <x:row r="6" ht="30" customHeight="1">
      <x:c r="A6" s="28" t="str">
        <x:v>TEN-002</x:v>
      </x:c>
      <x:c r="B6" s="28" t="str">
        <x:v>JRN-PLANNER-SINGLE-001</x:v>
      </x:c>
      <x:c r="C6" s="28" t="str">
        <x:v>Planner</x:v>
      </x:c>
      <x:c r="D6" s="28" t="str">
        <x:v>Publish</x:v>
      </x:c>
      <x:c r="E6" s="28" t="str">
        <x:v>Multiple upstream domains must be valid but atomic recovery is not proven</x:v>
      </x:c>
      <x:c r="F6" s="28" t="str">
        <x:v>Publish after detailed setup</x:v>
      </x:c>
      <x:c r="G6" s="28" t="str">
        <x:v>Each visit</x:v>
      </x:c>
      <x:c r="H6" s="28" t="str">
        <x:v>Potential full rework</x:v>
      </x:c>
      <x:c r="I6" s="28" t="str">
        <x:v>High</x:v>
      </x:c>
      <x:c r="J6" s="28" t="str">
        <x:v>Possible</x:v>
      </x:c>
      <x:c r="K6" s="28" t="str">
        <x:v>Handoff delay to inspector</x:v>
      </x:c>
      <x:c r="L6" s="28" t="str">
        <x:v>Planner vs admin/integration</x:v>
      </x:c>
      <x:c r="M6" s="28" t="str">
        <x:v>Partial executable records</x:v>
      </x:c>
      <x:c r="N6" s="28" t="str">
        <x:v>Atomic publish with preflight checklist and stable recovery receipt</x:v>
      </x:c>
      <x:c r="O6" s="28" t="str">
        <x:v>Fewer orphan/duplicate visits</x:v>
      </x:c>
      <x:c r="P6" s="28" t="str">
        <x:v>Planning Blueprint</x:v>
      </x:c>
    </x:row>
    <x:row r="7" ht="30" customHeight="1">
      <x:c r="A7" s="28" t="str">
        <x:v>TEN-003</x:v>
      </x:c>
      <x:c r="B7" s="28" t="str">
        <x:v>JRN-INSPECTOR-EXEC-001</x:v>
      </x:c>
      <x:c r="C7" s="28" t="str">
        <x:v>Inspector</x:v>
      </x:c>
      <x:c r="D7" s="28" t="str">
        <x:v>Preparation/start</x:v>
      </x:c>
      <x:c r="E7" s="28" t="str">
        <x:v>Operational route is PWA/field-oriented while requested desktop path is unclear</x:v>
      </x:c>
      <x:c r="F7" s="28" t="str">
        <x:v>Desktop/web execution</x:v>
      </x:c>
      <x:c r="G7" s="28" t="str">
        <x:v>Each visit</x:v>
      </x:c>
      <x:c r="H7" s="28" t="str">
        <x:v>Unknown</x:v>
      </x:c>
      <x:c r="I7" s="28" t="str">
        <x:v>High</x:v>
      </x:c>
      <x:c r="J7" s="28" t="str">
        <x:v>Context switching</x:v>
      </x:c>
      <x:c r="K7" s="28" t="str">
        <x:v>Planner-inspector handoff</x:v>
      </x:c>
      <x:c r="L7" s="28" t="str">
        <x:v>Ownership boundary unclear</x:v>
      </x:c>
      <x:c r="M7" s="28" t="str">
        <x:v>Desktop inspector completion cannot be certified</x:v>
      </x:c>
      <x:c r="N7" s="28" t="str">
        <x:v>Declare supported surface and shared dependencies; provide consistent landing/redirect</x:v>
      </x:c>
      <x:c r="O7" s="28" t="str">
        <x:v>Clear executable channel</x:v>
      </x:c>
      <x:c r="P7" s="28" t="str">
        <x:v>Route inventory</x:v>
      </x:c>
    </x:row>
    <x:row r="8" ht="30" customHeight="1">
      <x:c r="A8" s="28" t="str">
        <x:v>TEN-004</x:v>
      </x:c>
      <x:c r="B8" s="28" t="str">
        <x:v>JRN-EXEC-DASH-001</x:v>
      </x:c>
      <x:c r="C8" s="28" t="str">
        <x:v>Leadership</x:v>
      </x:c>
      <x:c r="D8" s="28" t="str">
        <x:v>Dashboard</x:v>
      </x:c>
      <x:c r="E8" s="28" t="str">
        <x:v>Source facts exist but governed dashboard config is empty</x:v>
      </x:c>
      <x:c r="F8" s="28" t="str">
        <x:v>Open dashboard</x:v>
      </x:c>
      <x:c r="G8" s="28" t="str">
        <x:v>Every view</x:v>
      </x:c>
      <x:c r="H8" s="28" t="str">
        <x:v>N/A</x:v>
      </x:c>
      <x:c r="I8" s="28" t="str">
        <x:v>Medium</x:v>
      </x:c>
      <x:c r="J8" s="28" t="str">
        <x:v>No</x:v>
      </x:c>
      <x:c r="K8" s="28" t="str">
        <x:v>Decision delay</x:v>
      </x:c>
      <x:c r="L8" s="28" t="str">
        <x:v>Configuration owner unclear</x:v>
      </x:c>
      <x:c r="M8" s="28" t="str">
        <x:v>Unavailable or misleading KPIs</x:v>
      </x:c>
      <x:c r="N8" s="28" t="str">
        <x:v>Publish governed config and show provenance/version</x:v>
      </x:c>
      <x:c r="O8" s="28" t="str">
        <x:v>Trustworthy decisions</x:v>
      </x:c>
      <x:c r="P8" s="28" t="str">
        <x:v>DQ-014</x:v>
      </x:c>
    </x:row>
  </x:sheetData>
  <x:mergeCells>
    <x:mergeCell ref="A1:P1"/>
  </x:mergeCells>
  <x:pageMargins left="0.7" right="0.7" top="0.75" bottom="0.75" header="0.3" footer="0.3"/>
  <x:tableParts count="1">
    <x:tablePart xmlns:r="http://schemas.openxmlformats.org/officeDocument/2006/relationships" r:id="Rcd106ac518b84cb0"/>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12" hidden="0" customWidth="1"/>
    <x:col min="4" max="4" width="21" hidden="0" customWidth="1"/>
    <x:col min="5" max="5" width="15" hidden="0" customWidth="1"/>
    <x:col min="6" max="6" width="28" hidden="0" customWidth="1"/>
    <x:col min="7" max="7" width="21" hidden="0" customWidth="1"/>
    <x:col min="8" max="8" width="18" hidden="0" customWidth="1"/>
    <x:col min="9" max="9" width="13" hidden="0" customWidth="1"/>
    <x:col min="10" max="10" width="23" hidden="0" customWidth="1"/>
    <x:col min="11" max="11" width="22" hidden="0" customWidth="1"/>
    <x:col min="12" max="12" width="12" hidden="0" customWidth="1"/>
    <x:col min="13" max="13" width="34" hidden="0" customWidth="1"/>
    <x:col min="14" max="14" width="25" hidden="0" customWidth="1"/>
  </x:cols>
  <x:sheetData>
    <x:row r="1" ht="30" customHeight="1">
      <x:c r="A1" s="24" t="str">
        <x:v>13 MISSING CAPABILITIES</x:v>
      </x:c>
      <x:c r="B1" s="25"/>
      <x:c r="C1" s="25"/>
      <x:c r="D1" s="25"/>
      <x:c r="E1" s="25"/>
      <x:c r="F1" s="25"/>
      <x:c r="G1" s="25"/>
      <x:c r="H1" s="25"/>
      <x:c r="I1" s="25"/>
      <x:c r="J1" s="25"/>
      <x:c r="K1" s="25"/>
      <x:c r="L1" s="25"/>
      <x:c r="M1" s="25"/>
      <x:c r="N1" s="25"/>
    </x:row>
    <x:row r="2" ht="30" customHeight="1">
      <x:c r="A2" s="26" t="str">
        <x:v>Audit snapshot · 2026-07-30 (Asia/Riyadh) · commit ada62124</x:v>
      </x:c>
      <x:c r="B2" s="26" t="str"/>
      <x:c r="C2" s="26" t="str"/>
      <x:c r="D2" s="26" t="str"/>
      <x:c r="E2" s="26" t="str"/>
      <x:c r="F2" s="26" t="str"/>
      <x:c r="G2" s="26" t="str"/>
      <x:c r="H2" s="26" t="str"/>
      <x:c r="I2" s="26" t="str"/>
      <x:c r="J2" s="26" t="str"/>
      <x:c r="K2" s="26" t="str"/>
      <x:c r="L2" s="26" t="str"/>
      <x:c r="M2" s="26" t="str"/>
      <x:c r="N2" s="26" t="str"/>
    </x:row>
    <x:row r="3" ht="30" customHeight="1">
      <x:c r="A3" s="25"/>
      <x:c r="B3" s="25"/>
      <x:c r="C3" s="25"/>
      <x:c r="D3" s="25"/>
      <x:c r="E3" s="25"/>
      <x:c r="F3" s="25"/>
      <x:c r="G3" s="25"/>
      <x:c r="H3" s="25"/>
      <x:c r="I3" s="25"/>
      <x:c r="J3" s="25"/>
      <x:c r="K3" s="25"/>
      <x:c r="L3" s="25"/>
      <x:c r="M3" s="25"/>
      <x:c r="N3" s="25"/>
    </x:row>
    <x:row r="4" ht="30" customHeight="1">
      <x:c r="A4" s="27" t="str">
        <x:v>Gap ID</x:v>
      </x:c>
      <x:c r="B4" s="27" t="str">
        <x:v>Persona</x:v>
      </x:c>
      <x:c r="C4" s="27" t="str">
        <x:v>Journey</x:v>
      </x:c>
      <x:c r="D4" s="27" t="str">
        <x:v>Missing capability</x:v>
      </x:c>
      <x:c r="E4" s="27" t="str">
        <x:v>Why required</x:v>
      </x:c>
      <x:c r="F4" s="27" t="str">
        <x:v>Evidence of intended need</x:v>
      </x:c>
      <x:c r="G4" s="27" t="str">
        <x:v>Current workaround</x:v>
      </x:c>
      <x:c r="H4" s="27" t="str">
        <x:v>Business impact</x:v>
      </x:c>
      <x:c r="I4" s="27" t="str">
        <x:v>Dependency</x:v>
      </x:c>
      <x:c r="J4" s="27" t="str">
        <x:v>Recommended behavior</x:v>
      </x:c>
      <x:c r="K4" s="27" t="str">
        <x:v>Acceptance criteria</x:v>
      </x:c>
      <x:c r="L4" s="27" t="str">
        <x:v>Priority</x:v>
      </x:c>
      <x:c r="M4" s="27" t="str">
        <x:v>Whether documented/designed/absent</x:v>
      </x:c>
      <x:c r="N4" s="27" t="str">
        <x:v>Related breakpoint IDs</x:v>
      </x:c>
    </x:row>
    <x:row r="5" ht="30" customHeight="1">
      <x:c r="A5" s="28" t="str">
        <x:v>GAP-001</x:v>
      </x:c>
      <x:c r="B5" s="28" t="str">
        <x:v>Corrective-action Owner</x:v>
      </x:c>
      <x:c r="C5" s="28" t="str">
        <x:v>JRN-CA-RESPOND-001</x:v>
      </x:c>
      <x:c r="D5" s="28" t="str">
        <x:v>Dedicated owner identity, assignment and response workspace</x:v>
      </x:c>
      <x:c r="E5" s="28" t="str">
        <x:v>Closure requires accountable external/internal owner</x:v>
      </x:c>
      <x:c r="F5" s="28" t="str">
        <x:v>Cases and correction tables imply follow-up; no complete owner route found</x:v>
      </x:c>
      <x:c r="G5" s="28" t="str">
        <x:v>Off-platform/manual</x:v>
      </x:c>
      <x:c r="H5" s="28" t="str">
        <x:v>High</x:v>
      </x:c>
      <x:c r="I5" s="28" t="str">
        <x:v>Identity, workflow, portal, notifications</x:v>
      </x:c>
      <x:c r="J5" s="28" t="str">
        <x:v>Owner sees assigned obligation, uploads evidence, receives review decision and closes</x:v>
      </x:c>
      <x:c r="K5" s="28" t="str">
        <x:v>Persona-scoped positive/negative/rework tests</x:v>
      </x:c>
      <x:c r="L5" s="28" t="str">
        <x:v>P1</x:v>
      </x:c>
      <x:c r="M5" s="28" t="str">
        <x:v>Absent/Not found</x:v>
      </x:c>
      <x:c r="N5" s="28" t="str">
        <x:v>BP-016</x:v>
      </x:c>
    </x:row>
    <x:row r="6" ht="30" customHeight="1">
      <x:c r="A6" s="28" t="str">
        <x:v>GAP-002</x:v>
      </x:c>
      <x:c r="B6" s="28" t="str">
        <x:v>All runtime personas</x:v>
      </x:c>
      <x:c r="C6" s="28" t="str">
        <x:v>Multiple</x:v>
      </x:c>
      <x:c r="D6" s="28" t="str">
        <x:v>Safe disposable persona fixture and authentication pack</x:v>
      </x:c>
      <x:c r="E6" s="28" t="str">
        <x:v>Evidence-based end-to-end verification needs clean sessions</x:v>
      </x:c>
      <x:c r="F6" s="28" t="str">
        <x:v>Data-quality report calls for 15–20 seeded personas; only 8 contaminated profiles exist</x:v>
      </x:c>
      <x:c r="G6" s="28" t="str">
        <x:v>Static inspection</x:v>
      </x:c>
      <x:c r="H6" s="28" t="str">
        <x:v>Critical</x:v>
      </x:c>
      <x:c r="I6" s="28" t="str">
        <x:v>Identity and data seeding</x:v>
      </x:c>
      <x:c r="J6" s="28" t="str">
        <x:v>Scenario-owned users, records and deterministic sinks with cleanup/provenance</x:v>
      </x:c>
      <x:c r="K6" s="28" t="str">
        <x:v>All persona tours run without touching shared records</x:v>
      </x:c>
      <x:c r="L6" s="28" t="str">
        <x:v>P0</x:v>
      </x:c>
      <x:c r="M6" s="28" t="str">
        <x:v>Documented but not available</x:v>
      </x:c>
      <x:c r="N6" s="28" t="str">
        <x:v>BP-001</x:v>
      </x:c>
    </x:row>
    <x:row r="7" ht="30" customHeight="1">
      <x:c r="A7" s="28" t="str">
        <x:v>GAP-003</x:v>
      </x:c>
      <x:c r="B7" s="28" t="str">
        <x:v>System</x:v>
      </x:c>
      <x:c r="C7" s="28" t="str">
        <x:v>JRN-SYSTEM-INTEGRATE-001</x:v>
      </x:c>
      <x:c r="D7" s="28" t="str">
        <x:v>Governed Senaei submission trigger and delivery receipt</x:v>
      </x:c>
      <x:c r="E7" s="28" t="str">
        <x:v>External completion may require authority synchronization</x:v>
      </x:c>
      <x:c r="F7" s="28" t="str">
        <x:v>Adapter explicitly blocks trigger decision</x:v>
      </x:c>
      <x:c r="G7" s="28" t="str">
        <x:v>Prepared local payload</x:v>
      </x:c>
      <x:c r="H7" s="28" t="str">
        <x:v>High</x:v>
      </x:c>
      <x:c r="I7" s="28" t="str">
        <x:v>Governance/provider</x:v>
      </x:c>
      <x:c r="J7" s="28" t="str">
        <x:v>Approved trigger, idempotent send, retry, receipt and reconciliation</x:v>
      </x:c>
      <x:c r="K7" s="28" t="str">
        <x:v>Positive, retry, duplicate and provider rejection tests</x:v>
      </x:c>
      <x:c r="L7" s="28" t="str">
        <x:v>P1</x:v>
      </x:c>
      <x:c r="M7" s="28" t="str">
        <x:v>Implemented but blocked</x:v>
      </x:c>
      <x:c r="N7" s="28" t="str">
        <x:v>BP-022</x:v>
      </x:c>
    </x:row>
    <x:row r="8" ht="30" customHeight="1">
      <x:c r="A8" s="28" t="str">
        <x:v>GAP-004</x:v>
      </x:c>
      <x:c r="B8" s="28" t="str">
        <x:v>Leadership</x:v>
      </x:c>
      <x:c r="C8" s="28" t="str">
        <x:v>JRN-EXEC-DASH-001</x:v>
      </x:c>
      <x:c r="D8" s="28" t="str">
        <x:v>Published dashboard configuration</x:v>
      </x:c>
      <x:c r="E8" s="28" t="str">
        <x:v>KPI calculation requires governed parameters</x:v>
      </x:c>
      <x:c r="F8" s="28" t="str">
        <x:v>Three dashboard config tables empty</x:v>
      </x:c>
      <x:c r="G8" s="28" t="str">
        <x:v>Unavailable state</x:v>
      </x:c>
      <x:c r="H8" s="28" t="str">
        <x:v>High</x:v>
      </x:c>
      <x:c r="I8" s="28" t="str">
        <x:v>Admin config</x:v>
      </x:c>
      <x:c r="J8" s="28" t="str">
        <x:v>Versioned published definitions and provenance</x:v>
      </x:c>
      <x:c r="K8" s="28" t="str">
        <x:v>Empty/unavailable/valid KPI tests</x:v>
      </x:c>
      <x:c r="L8" s="28" t="str">
        <x:v>P1</x:v>
      </x:c>
      <x:c r="M8" s="28" t="str">
        <x:v>Not configured</x:v>
      </x:c>
      <x:c r="N8" s="28" t="str">
        <x:v>BP-019</x:v>
      </x:c>
    </x:row>
    <x:row r="9" ht="30" customHeight="1">
      <x:c r="A9" s="28" t="str">
        <x:v>GAP-005</x:v>
      </x:c>
      <x:c r="B9" s="28" t="str">
        <x:v>Inspector/Reviewer</x:v>
      </x:c>
      <x:c r="C9" s="28" t="str">
        <x:v>Golden thread</x:v>
      </x:c>
      <x:c r="D9" s="28" t="str">
        <x:v>Enforced approval integrity at database boundary</x:v>
      </x:c>
      <x:c r="E9" s="28" t="str">
        <x:v>Legal completeness requires immutable version and review</x:v>
      </x:c>
      <x:c r="F9" s="28" t="str">
        <x:v>Confirmed approved record has neither</x:v>
      </x:c>
      <x:c r="G9" s="28" t="str">
        <x:v>Manual quarantine</x:v>
      </x:c>
      <x:c r="H9" s="28" t="str">
        <x:v>Critical</x:v>
      </x:c>
      <x:c r="I9" s="28" t="str">
        <x:v>DB transition guards</x:v>
      </x:c>
      <x:c r="J9" s="28" t="str">
        <x:v>Approval function requires submission version and review; direct mutation denied</x:v>
      </x:c>
      <x:c r="K9" s="28" t="str">
        <x:v>Negative SQL/RLS and browser tests</x:v>
      </x:c>
      <x:c r="L9" s="28" t="str">
        <x:v>P0</x:v>
      </x:c>
      <x:c r="M9" s="28" t="str">
        <x:v>Implemented but broken</x:v>
      </x:c>
      <x:c r="N9" s="28" t="str">
        <x:v>BP-014</x:v>
      </x:c>
    </x:row>
  </x:sheetData>
  <x:mergeCells>
    <x:mergeCell ref="A1:N1"/>
  </x:mergeCells>
  <x:pageMargins left="0.7" right="0.7" top="0.75" bottom="0.75" header="0.3" footer="0.3"/>
  <x:tableParts count="1">
    <x:tablePart xmlns:r="http://schemas.openxmlformats.org/officeDocument/2006/relationships" r:id="R21db26dea11f4efd"/>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17" hidden="0" customWidth="1"/>
    <x:col min="2" max="2" width="21" hidden="0" customWidth="1"/>
    <x:col min="3" max="3" width="12" hidden="0" customWidth="1"/>
    <x:col min="4" max="4" width="12" hidden="0" customWidth="1"/>
    <x:col min="5" max="5" width="18" hidden="0" customWidth="1"/>
    <x:col min="6" max="6" width="17" hidden="0" customWidth="1"/>
    <x:col min="7" max="7" width="12" hidden="0" customWidth="1"/>
    <x:col min="8" max="8" width="12" hidden="0" customWidth="1"/>
    <x:col min="9" max="9" width="17" hidden="0" customWidth="1"/>
    <x:col min="10" max="10" width="13" hidden="0" customWidth="1"/>
    <x:col min="11" max="11" width="33" hidden="0" customWidth="1"/>
    <x:col min="12" max="12" width="22" hidden="0" customWidth="1"/>
    <x:col min="13" max="13" width="25" hidden="0" customWidth="1"/>
    <x:col min="14" max="14" width="13" hidden="0" customWidth="1"/>
    <x:col min="15" max="15" width="20" hidden="0" customWidth="1"/>
    <x:col min="16" max="16" width="25" hidden="0" customWidth="1"/>
    <x:col min="17" max="17" width="19" hidden="0" customWidth="1"/>
  </x:cols>
  <x:sheetData>
    <x:row r="1" ht="30" customHeight="1">
      <x:c r="A1" s="24" t="str">
        <x:v>14 REMEDIATION BACKLOG</x:v>
      </x:c>
      <x:c r="B1" s="25"/>
      <x:c r="C1" s="25"/>
      <x:c r="D1" s="25"/>
      <x:c r="E1" s="25"/>
      <x:c r="F1" s="25"/>
      <x:c r="G1" s="25"/>
      <x:c r="H1" s="25"/>
      <x:c r="I1" s="25"/>
      <x:c r="J1" s="25"/>
      <x:c r="K1" s="25"/>
      <x:c r="L1" s="25"/>
      <x:c r="M1" s="25"/>
      <x:c r="N1" s="25"/>
      <x:c r="O1" s="25"/>
      <x:c r="P1" s="25"/>
      <x:c r="Q1" s="25"/>
    </x:row>
    <x:row r="2" ht="30" customHeight="1">
      <x:c r="A2" s="26" t="str">
        <x:v>Audit snapshot · 2026-07-30 (Asia/Riyadh) · commit ada62124</x:v>
      </x:c>
      <x:c r="B2" s="26" t="str"/>
      <x:c r="C2" s="26" t="str"/>
      <x:c r="D2" s="26" t="str"/>
      <x:c r="E2" s="26" t="str"/>
      <x:c r="F2" s="26" t="str"/>
      <x:c r="G2" s="26" t="str"/>
      <x:c r="H2" s="26" t="str"/>
      <x:c r="I2" s="26" t="str"/>
      <x:c r="J2" s="26" t="str"/>
      <x:c r="K2" s="26" t="str"/>
      <x:c r="L2" s="26" t="str"/>
      <x:c r="M2" s="26" t="str"/>
      <x:c r="N2" s="26" t="str"/>
      <x:c r="O2" s="26" t="str"/>
      <x:c r="P2" s="26" t="str"/>
      <x:c r="Q2" s="26" t="str"/>
    </x:row>
    <x:row r="3" ht="30" customHeight="1">
      <x:c r="A3" s="25"/>
      <x:c r="B3" s="25"/>
      <x:c r="C3" s="25"/>
      <x:c r="D3" s="25"/>
      <x:c r="E3" s="25"/>
      <x:c r="F3" s="25"/>
      <x:c r="G3" s="25"/>
      <x:c r="H3" s="25"/>
      <x:c r="I3" s="25"/>
      <x:c r="J3" s="25"/>
      <x:c r="K3" s="25"/>
      <x:c r="L3" s="25"/>
      <x:c r="M3" s="25"/>
      <x:c r="N3" s="25"/>
      <x:c r="O3" s="25"/>
      <x:c r="P3" s="25"/>
      <x:c r="Q3" s="25"/>
    </x:row>
    <x:row r="4" ht="30" customHeight="1">
      <x:c r="A4" s="27" t="str">
        <x:v>Remediation ID</x:v>
      </x:c>
      <x:c r="B4" s="27" t="str">
        <x:v>Linked finding IDs</x:v>
      </x:c>
      <x:c r="C4" s="27" t="str">
        <x:v>Persona</x:v>
      </x:c>
      <x:c r="D4" s="27" t="str">
        <x:v>Journey</x:v>
      </x:c>
      <x:c r="E4" s="27" t="str">
        <x:v>Proposed change</x:v>
      </x:c>
      <x:c r="F4" s="27" t="str">
        <x:v>Layer affected</x:v>
      </x:c>
      <x:c r="G4" s="27" t="str">
        <x:v>Priority</x:v>
      </x:c>
      <x:c r="H4" s="27" t="str">
        <x:v>Severity</x:v>
      </x:c>
      <x:c r="I4" s="27" t="str">
        <x:v>Business value</x:v>
      </x:c>
      <x:c r="J4" s="27" t="str">
        <x:v>Dependency</x:v>
      </x:c>
      <x:c r="K4" s="27" t="str">
        <x:v>Suggested implementation order</x:v>
      </x:c>
      <x:c r="L4" s="27" t="str">
        <x:v>Acceptance criteria</x:v>
      </x:c>
      <x:c r="M4" s="27" t="str">
        <x:v>Test evidence required</x:v>
      </x:c>
      <x:c r="N4" s="27" t="str">
        <x:v>Owner type</x:v>
      </x:c>
      <x:c r="O4" s="27" t="str">
        <x:v>Estimate category</x:v>
      </x:c>
      <x:c r="P4" s="27" t="str">
        <x:v>Quick win/systemic fix</x:v>
      </x:c>
      <x:c r="Q4" s="27" t="str">
        <x:v>Risk if deferred</x:v>
      </x:c>
    </x:row>
    <x:row r="5" ht="30" customHeight="1">
      <x:c r="A5" s="28" t="str">
        <x:v>REM-001</x:v>
      </x:c>
      <x:c r="B5" s="28" t="str">
        <x:v>BP-001;GAP-002</x:v>
      </x:c>
      <x:c r="C5" s="28" t="str">
        <x:v>All</x:v>
      </x:c>
      <x:c r="D5" s="28" t="str">
        <x:v>All human journeys</x:v>
      </x:c>
      <x:c r="E5" s="28" t="str">
        <x:v>Create safe disposable persona/fixture pack and restore approved authentication</x:v>
      </x:c>
      <x:c r="F5" s="28" t="str">
        <x:v>Identity/Test data</x:v>
      </x:c>
      <x:c r="G5" s="28" t="str">
        <x:v>1</x:v>
      </x:c>
      <x:c r="H5" s="28" t="str">
        <x:v>P0</x:v>
      </x:c>
      <x:c r="I5" s="28" t="str">
        <x:v>Unblocks all runtime verification</x:v>
      </x:c>
      <x:c r="J5" s="28" t="str">
        <x:v>Approved non-production environment</x:v>
      </x:c>
      <x:c r="K5" s="28" t="str">
        <x:v>1</x:v>
      </x:c>
      <x:c r="L5" s="28" t="str">
        <x:v>Persona sign-in + RLS matrix + golden thread data</x:v>
      </x:c>
      <x:c r="M5" s="28" t="str">
        <x:v>Browser tours, RLS negative tests, cleanup proof</x:v>
      </x:c>
      <x:c r="N5" s="28" t="str">
        <x:v>Identity/QA</x:v>
      </x:c>
      <x:c r="O5" s="28" t="str">
        <x:v>Large</x:v>
      </x:c>
      <x:c r="P5" s="28" t="str">
        <x:v>Systemic</x:v>
      </x:c>
      <x:c r="Q5" s="28" t="str">
        <x:v>Audit remains unverified</x:v>
      </x:c>
    </x:row>
    <x:row r="6" ht="30" customHeight="1">
      <x:c r="A6" s="28" t="str">
        <x:v>REM-002</x:v>
      </x:c>
      <x:c r="B6" s="28" t="str">
        <x:v>BP-014;GAP-005</x:v>
      </x:c>
      <x:c r="C6" s="28" t="str">
        <x:v>Inspector/Reviewer</x:v>
      </x:c>
      <x:c r="D6" s="28" t="str">
        <x:v>Submission and review</x:v>
      </x:c>
      <x:c r="E6" s="28" t="str">
        <x:v>Enforce immutable-version-before-review and review-before-approval at DB transition boundary; quarantine invalid record</x:v>
      </x:c>
      <x:c r="F6" s="28" t="str">
        <x:v>Workflow/Database</x:v>
      </x:c>
      <x:c r="G6" s="28" t="str">
        <x:v>2</x:v>
      </x:c>
      <x:c r="H6" s="28" t="str">
        <x:v>P0</x:v>
      </x:c>
      <x:c r="I6" s="28" t="str">
        <x:v>Restores legal/audit integrity</x:v>
      </x:c>
      <x:c r="J6" s="28" t="str">
        <x:v>Change control and migration</x:v>
      </x:c>
      <x:c r="K6" s="28" t="str">
        <x:v>2</x:v>
      </x:c>
      <x:c r="L6" s="28" t="str">
        <x:v>Direct status update denied; approval requires authorized review over latest immutable version</x:v>
      </x:c>
      <x:c r="M6" s="28" t="str">
        <x:v>DB negative tests + end-to-end review</x:v>
      </x:c>
      <x:c r="N6" s="28" t="str">
        <x:v>Backend/DB</x:v>
      </x:c>
      <x:c r="O6" s="28" t="str">
        <x:v>Medium</x:v>
      </x:c>
      <x:c r="P6" s="28" t="str">
        <x:v>Systemic</x:v>
      </x:c>
      <x:c r="Q6" s="28" t="str">
        <x:v>Invalid approvals persist</x:v>
      </x:c>
    </x:row>
    <x:row r="7" ht="30" customHeight="1">
      <x:c r="A7" s="28" t="str">
        <x:v>REM-003</x:v>
      </x:c>
      <x:c r="B7" s="28" t="str">
        <x:v>BP-006</x:v>
      </x:c>
      <x:c r="C7" s="28" t="str">
        <x:v>Planner</x:v>
      </x:c>
      <x:c r="D7" s="28" t="str">
        <x:v>JRN-PLANNER-SINGLE-001</x:v>
      </x:c>
      <x:c r="E7" s="28" t="str">
        <x:v>Make publish atomic and idempotent across plan, visit, assignment, packages, provenance, audit and notification intent</x:v>
      </x:c>
      <x:c r="F7" s="28" t="str">
        <x:v>Backend/Database</x:v>
      </x:c>
      <x:c r="G7" s="28" t="str">
        <x:v>3</x:v>
      </x:c>
      <x:c r="H7" s="28" t="str">
        <x:v>P0</x:v>
      </x:c>
      <x:c r="I7" s="28" t="str">
        <x:v>Prevents partial executable visits</x:v>
      </x:c>
      <x:c r="J7" s="28" t="str">
        <x:v>Planning command contract</x:v>
      </x:c>
      <x:c r="K7" s="28" t="str">
        <x:v>3</x:v>
      </x:c>
      <x:c r="L7" s="28" t="str">
        <x:v>Forced failure rolls back all writes; retry makes no duplicate</x:v>
      </x:c>
      <x:c r="M7" s="28" t="str">
        <x:v>Transaction fault injection + browser receipt</x:v>
      </x:c>
      <x:c r="N7" s="28" t="str">
        <x:v>Backend/DB</x:v>
      </x:c>
      <x:c r="O7" s="28" t="str">
        <x:v>Large</x:v>
      </x:c>
      <x:c r="P7" s="28" t="str">
        <x:v>Systemic</x:v>
      </x:c>
      <x:c r="Q7" s="28" t="str">
        <x:v>Orphans/duplicates</x:v>
      </x:c>
    </x:row>
    <x:row r="8" ht="30" customHeight="1">
      <x:c r="A8" s="28" t="str">
        <x:v>REM-004</x:v>
      </x:c>
      <x:c r="B8" s="28" t="str">
        <x:v>BP-005</x:v>
      </x:c>
      <x:c r="C8" s="28" t="str">
        <x:v>Planner/Inspector</x:v>
      </x:c>
      <x:c r="D8" s="28" t="str">
        <x:v>Planning and execution</x:v>
      </x:c>
      <x:c r="E8" s="28" t="str">
        <x:v>Backfill and hard-gate canonical factory identity/location with provenance</x:v>
      </x:c>
      <x:c r="F8" s="28" t="str">
        <x:v>Integration/Data</x:v>
      </x:c>
      <x:c r="G8" s="28" t="str">
        <x:v>4</x:v>
      </x:c>
      <x:c r="H8" s="28" t="str">
        <x:v>P0</x:v>
      </x:c>
      <x:c r="I8" s="28" t="str">
        <x:v>Valid target and arrival</x:v>
      </x:c>
      <x:c r="J8" s="28" t="str">
        <x:v>Provider/source authority</x:v>
      </x:c>
      <x:c r="K8" s="28" t="str">
        <x:v>4</x:v>
      </x:c>
      <x:c r="L8" s="28" t="str">
        <x:v>Required identity/status/coordinates are complete or visit is blocked with guidance</x:v>
      </x:c>
      <x:c r="M8" s="28" t="str">
        <x:v>Data profiling + planning negative tests</x:v>
      </x:c>
      <x:c r="N8" s="28" t="str">
        <x:v>Data/Integration</x:v>
      </x:c>
      <x:c r="O8" s="28" t="str">
        <x:v>Large</x:v>
      </x:c>
      <x:c r="P8" s="28" t="str">
        <x:v>Systemic</x:v>
      </x:c>
      <x:c r="Q8" s="28" t="str">
        <x:v>Invalid visits</x:v>
      </x:c>
    </x:row>
    <x:row r="9" ht="30" customHeight="1">
      <x:c r="A9" s="28" t="str">
        <x:v>REM-005</x:v>
      </x:c>
      <x:c r="B9" s="28" t="str">
        <x:v>BP-003;BP-004</x:v>
      </x:c>
      <x:c r="C9" s="28" t="str">
        <x:v>Admin</x:v>
      </x:c>
      <x:c r="D9" s="28" t="str">
        <x:v>Configuration prerequisites</x:v>
      </x:c>
      <x:c r="E9" s="28" t="str">
        <x:v>Execute maker-checker configuration and publish governed execution settings in safe environment</x:v>
      </x:c>
      <x:c r="F9" s="28" t="str">
        <x:v>Admin/Workflow</x:v>
      </x:c>
      <x:c r="G9" s="28" t="str">
        <x:v>5</x:v>
      </x:c>
      <x:c r="H9" s="28" t="str">
        <x:v>P0</x:v>
      </x:c>
      <x:c r="I9" s="28" t="str">
        <x:v>Makes visits executable</x:v>
      </x:c>
      <x:c r="J9" s="28" t="str">
        <x:v>REM-001</x:v>
      </x:c>
      <x:c r="K9" s="28" t="str">
        <x:v>5</x:v>
      </x:c>
      <x:c r="L9" s="28" t="str">
        <x:v>Immutable approved package/checklist and active execution config visible downstream</x:v>
      </x:c>
      <x:c r="M9" s="28" t="str">
        <x:v>Admin journey + RLS + version proof</x:v>
      </x:c>
      <x:c r="N9" s="28" t="str">
        <x:v>Product/Admin/QA</x:v>
      </x:c>
      <x:c r="O9" s="28" t="str">
        <x:v>Medium</x:v>
      </x:c>
      <x:c r="P9" s="28" t="str">
        <x:v>Systemic</x:v>
      </x:c>
      <x:c r="Q9" s="28" t="str">
        <x:v>Golden thread blocked</x:v>
      </x:c>
    </x:row>
    <x:row r="10" ht="30" customHeight="1">
      <x:c r="A10" s="28" t="str">
        <x:v>REM-006</x:v>
      </x:c>
      <x:c r="B10" s="28" t="str">
        <x:v>BP-016</x:v>
      </x:c>
      <x:c r="C10" s="28" t="str">
        <x:v>Corrective-action Owner</x:v>
      </x:c>
      <x:c r="D10" s="28" t="str">
        <x:v>JRN-CA-RESPOND-001</x:v>
      </x:c>
      <x:c r="E10" s="28" t="str">
        <x:v>Design and implement owner assignment/portal/evidence/review/closure journey</x:v>
      </x:c>
      <x:c r="F10" s="28" t="str">
        <x:v>Full stack</x:v>
      </x:c>
      <x:c r="G10" s="28" t="str">
        <x:v>6</x:v>
      </x:c>
      <x:c r="H10" s="28" t="str">
        <x:v>P1</x:v>
      </x:c>
      <x:c r="I10" s="28" t="str">
        <x:v>Closes non-compliance loop</x:v>
      </x:c>
      <x:c r="J10" s="28" t="str">
        <x:v>Identity and case model decision</x:v>
      </x:c>
      <x:c r="K10" s="28" t="str">
        <x:v>6</x:v>
      </x:c>
      <x:c r="L10" s="28" t="str">
        <x:v>Owner scoped workflow supports return/resubmit and notifications</x:v>
      </x:c>
      <x:c r="M10" s="28" t="str">
        <x:v>Persona tour + unauthorized access + lifecycle tests</x:v>
      </x:c>
      <x:c r="N10" s="28" t="str">
        <x:v>Product/Engineering</x:v>
      </x:c>
      <x:c r="O10" s="28" t="str">
        <x:v>Large</x:v>
      </x:c>
      <x:c r="P10" s="28" t="str">
        <x:v>Systemic</x:v>
      </x:c>
      <x:c r="Q10" s="28" t="str">
        <x:v>Cases remain open/off-platform</x:v>
      </x:c>
    </x:row>
    <x:row r="11" ht="30" customHeight="1">
      <x:c r="A11" s="28" t="str">
        <x:v>REM-007</x:v>
      </x:c>
      <x:c r="B11" s="28" t="str">
        <x:v>BP-019</x:v>
      </x:c>
      <x:c r="C11" s="28" t="str">
        <x:v>Leadership</x:v>
      </x:c>
      <x:c r="D11" s="28" t="str">
        <x:v>JRN-EXEC-DASH-001</x:v>
      </x:c>
      <x:c r="E11" s="28" t="str">
        <x:v>Publish versioned dashboard configuration and provenance</x:v>
      </x:c>
      <x:c r="F11" s="28" t="str">
        <x:v>Configuration/Data</x:v>
      </x:c>
      <x:c r="G11" s="28" t="str">
        <x:v>7</x:v>
      </x:c>
      <x:c r="H11" s="28" t="str">
        <x:v>P1</x:v>
      </x:c>
      <x:c r="I11" s="28" t="str">
        <x:v>Restores trustworthy KPIs</x:v>
      </x:c>
      <x:c r="J11" s="28" t="str">
        <x:v>Governed KPI decisions</x:v>
      </x:c>
      <x:c r="K11" s="28" t="str">
        <x:v>7</x:v>
      </x:c>
      <x:c r="L11" s="28" t="str">
        <x:v>Configured KPIs compute; unconfigured values remain unavailable</x:v>
      </x:c>
      <x:c r="M11" s="28" t="str">
        <x:v>Formula/source reconciliation + UI tests</x:v>
      </x:c>
      <x:c r="N11" s="28" t="str">
        <x:v>Admin/Data</x:v>
      </x:c>
      <x:c r="O11" s="28" t="str">
        <x:v>Medium</x:v>
      </x:c>
      <x:c r="P11" s="28" t="str">
        <x:v>Systemic</x:v>
      </x:c>
      <x:c r="Q11" s="28" t="str">
        <x:v>No decision insight</x:v>
      </x:c>
    </x:row>
    <x:row r="12" ht="30" customHeight="1">
      <x:c r="A12" s="28" t="str">
        <x:v>REM-008</x:v>
      </x:c>
      <x:c r="B12" s="28" t="str">
        <x:v>BP-021;BP-022</x:v>
      </x:c>
      <x:c r="C12" s="28" t="str">
        <x:v>System</x:v>
      </x:c>
      <x:c r="D12" s="28" t="str">
        <x:v>Notification/integration</x:v>
      </x:c>
      <x:c r="E12" s="28" t="str">
        <x:v>Complete notification preferences, provider receipts, Senaei trigger, retry and reconciliation</x:v>
      </x:c>
      <x:c r="F12" s="28" t="str">
        <x:v>Integration</x:v>
      </x:c>
      <x:c r="G12" s="28" t="str">
        <x:v>8</x:v>
      </x:c>
      <x:c r="H12" s="28" t="str">
        <x:v>P1</x:v>
      </x:c>
      <x:c r="I12" s="28" t="str">
        <x:v>Reliable handoffs and external sync</x:v>
      </x:c>
      <x:c r="J12" s="28" t="str">
        <x:v>Governance/provider access</x:v>
      </x:c>
      <x:c r="K12" s="28" t="str">
        <x:v>8</x:v>
      </x:c>
      <x:c r="L12" s="28" t="str">
        <x:v>Every material event records recipient, preference, attempt and receipt/failure</x:v>
      </x:c>
      <x:c r="M12" s="28" t="str">
        <x:v>Deterministic sink + provider contract tests</x:v>
      </x:c>
      <x:c r="N12" s="28" t="str">
        <x:v>Integration/QA</x:v>
      </x:c>
      <x:c r="O12" s="28" t="str">
        <x:v>Large</x:v>
      </x:c>
      <x:c r="P12" s="28" t="str">
        <x:v>Systemic</x:v>
      </x:c>
      <x:c r="Q12" s="28" t="str">
        <x:v>Silent missed handoffs</x:v>
      </x:c>
    </x:row>
  </x:sheetData>
  <x:mergeCells>
    <x:mergeCell ref="A1:Q1"/>
  </x:mergeCells>
  <x:pageMargins left="0.7" right="0.7" top="0.75" bottom="0.75" header="0.3" footer="0.3"/>
  <x:tableParts count="1">
    <x:tablePart xmlns:r="http://schemas.openxmlformats.org/officeDocument/2006/relationships" r:id="Rde776916e9c74622"/>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14" hidden="0" customWidth="1"/>
    <x:col min="2" max="2" width="22" hidden="0" customWidth="1"/>
    <x:col min="3" max="3" width="24" hidden="0" customWidth="1"/>
    <x:col min="4" max="4" width="18" hidden="0" customWidth="1"/>
    <x:col min="5" max="5" width="22" hidden="0" customWidth="1"/>
    <x:col min="6" max="6" width="22" hidden="0" customWidth="1"/>
    <x:col min="7" max="7" width="16" hidden="0" customWidth="1"/>
    <x:col min="8" max="8" width="28" hidden="0" customWidth="1"/>
    <x:col min="9" max="9" width="70" hidden="0" customWidth="1"/>
    <x:col min="10" max="10" width="50" hidden="0" customWidth="1"/>
    <x:col min="11" max="11" width="30" hidden="0" customWidth="1"/>
    <x:col min="12" max="12" width="20" hidden="0" customWidth="1"/>
  </x:cols>
  <x:sheetData>
    <x:row r="1" ht="30" customHeight="1">
      <x:c r="A1" s="24" t="str">
        <x:v>15 SCREENSHOTS</x:v>
      </x:c>
      <x:c r="B1" s="25"/>
      <x:c r="C1" s="25"/>
      <x:c r="D1" s="25"/>
      <x:c r="E1" s="25"/>
      <x:c r="F1" s="25"/>
      <x:c r="G1" s="25"/>
      <x:c r="H1" s="25"/>
      <x:c r="I1" s="25"/>
      <x:c r="J1" s="25"/>
      <x:c r="K1" s="25"/>
      <x:c r="L1" s="25"/>
    </x:row>
    <x:row r="2" ht="30" customHeight="1">
      <x:c r="A2" s="26" t="str">
        <x:v>Audit snapshot · 2026-07-30 (Asia/Riyadh) · commit ada62124</x:v>
      </x:c>
      <x:c r="B2" s="26" t="str"/>
      <x:c r="C2" s="26" t="str"/>
      <x:c r="D2" s="26" t="str"/>
      <x:c r="E2" s="26" t="str"/>
      <x:c r="F2" s="26" t="str"/>
      <x:c r="G2" s="26" t="str"/>
      <x:c r="H2" s="26" t="str"/>
      <x:c r="I2" s="26" t="str"/>
      <x:c r="J2" s="26" t="str"/>
      <x:c r="K2" s="26" t="str"/>
      <x:c r="L2" s="26" t="str"/>
    </x:row>
    <x:row r="3" ht="30" customHeight="1">
      <x:c r="A3" s="25"/>
      <x:c r="B3" s="25"/>
      <x:c r="C3" s="25"/>
      <x:c r="D3" s="25"/>
      <x:c r="E3" s="25"/>
      <x:c r="F3" s="25"/>
      <x:c r="G3" s="25"/>
      <x:c r="H3" s="25"/>
      <x:c r="I3" s="25"/>
      <x:c r="J3" s="25"/>
      <x:c r="K3" s="25"/>
      <x:c r="L3" s="25"/>
    </x:row>
    <x:row r="4" ht="30" customHeight="1">
      <x:c r="A4" s="27" t="str">
        <x:v>Screenshot ID</x:v>
      </x:c>
      <x:c r="B4" s="27" t="str">
        <x:v>Journey ID</x:v>
      </x:c>
      <x:c r="C4" s="27" t="str">
        <x:v>Step ID</x:v>
      </x:c>
      <x:c r="D4" s="27" t="str">
        <x:v>Persona</x:v>
      </x:c>
      <x:c r="E4" s="27" t="str">
        <x:v>Screen</x:v>
      </x:c>
      <x:c r="F4" s="27" t="str">
        <x:v>State</x:v>
      </x:c>
      <x:c r="G4" s="27" t="str">
        <x:v>Timestamp</x:v>
      </x:c>
      <x:c r="H4" s="27" t="str">
        <x:v>Environment</x:v>
      </x:c>
      <x:c r="I4" s="27" t="str">
        <x:v>What screenshot proves</x:v>
      </x:c>
      <x:c r="J4" s="27" t="str">
        <x:v>Annotation</x:v>
      </x:c>
      <x:c r="K4" s="27" t="str">
        <x:v>Source image file</x:v>
      </x:c>
      <x:c r="L4" s="27" t="str">
        <x:v>Related finding</x:v>
      </x:c>
    </x:row>
    <x:row r="5" ht="30" customHeight="1">
      <x:c r="A5" s="28" t="str">
        <x:v>SCR-001</x:v>
      </x:c>
      <x:c r="B5" s="28" t="str">
        <x:v>JRN-ADMIN-IAM-001</x:v>
      </x:c>
      <x:c r="C5" s="28" t="str">
        <x:v>JRN-INSPECTOR-PREP-001-S01</x:v>
      </x:c>
      <x:c r="D5" s="28" t="str">
        <x:v>Unauthenticated</x:v>
      </x:c>
      <x:c r="E5" s="28" t="str">
        <x:v>Login</x:v>
      </x:c>
      <x:c r="F5" s="28" t="str">
        <x:v>Initial</x:v>
      </x:c>
      <x:c r="G5" s="28" t="str">
        <x:v>2026-07-30</x:v>
      </x:c>
      <x:c r="H5" s="28" t="str">
        <x:v>Local production build</x:v>
      </x:c>
      <x:c r="I5" s="28" t="str">
        <x:v>Login renders with staff-number label, reset and locale controls</x:v>
      </x:c>
      <x:c r="J5" s="28" t="str">
        <x:v>Actual application; no code screenshot</x:v>
      </x:c>
      <x:c r="K5" s="28" t="str">
        <x:v>SCR-001-login.png</x:v>
      </x:c>
      <x:c r="L5" s="28" t="str">
        <x:v>BP-001;TEN-001</x:v>
      </x:c>
    </x:row>
    <x:row r="6" ht="30" customHeight="1">
      <x:c r="A6" s="28" t="str">
        <x:v>SCR-002</x:v>
      </x:c>
      <x:c r="B6" s="28" t="str">
        <x:v>JRN-INSPECTOR-PREP-001</x:v>
      </x:c>
      <x:c r="C6" s="28" t="str">
        <x:v>JRN-INSPECTOR-PREP-001-S01</x:v>
      </x:c>
      <x:c r="D6" s="28" t="str">
        <x:v>Inspector</x:v>
      </x:c>
      <x:c r="E6" s="28" t="str">
        <x:v>Login</x:v>
      </x:c>
      <x:c r="F6" s="28" t="str">
        <x:v>Authentication blocked</x:v>
      </x:c>
      <x:c r="G6" s="28" t="str">
        <x:v>2026-07-30</x:v>
      </x:c>
      <x:c r="H6" s="28" t="str">
        <x:v>Local production build + configured auth</x:v>
      </x:c>
      <x:c r="I6" s="28" t="str">
        <x:v>Available inspector identity could not authenticate; staff-number route reports missing directory contract</x:v>
      </x:c>
      <x:c r="J6" s="28" t="str">
        <x:v>No secret retained in workbook</x:v>
      </x:c>
      <x:c r="K6" s="28" t="str">
        <x:v>SCR-002-login-auth-blocked.png</x:v>
      </x:c>
      <x:c r="L6" s="28" t="str">
        <x:v>BP-001</x:v>
      </x:c>
    </x:row>
    <x:row r="7" ht="30" customHeight="1">
      <x:c r="A7" s="28" t="str">
        <x:v>SCR-003</x:v>
      </x:c>
      <x:c r="B7" s="28" t="str">
        <x:v>Multiple</x:v>
      </x:c>
      <x:c r="C7" s="28" t="str">
        <x:v>Multiple</x:v>
      </x:c>
      <x:c r="D7" s="28" t="str">
        <x:v>Unauthorized</x:v>
      </x:c>
      <x:c r="E7" s="28" t="str">
        <x:v>Protected planning route</x:v>
      </x:c>
      <x:c r="F7" s="28" t="str">
        <x:v>Redirected to login</x:v>
      </x:c>
      <x:c r="G7" s="28" t="str">
        <x:v>2026-07-30</x:v>
      </x:c>
      <x:c r="H7" s="28" t="str">
        <x:v>Local production build</x:v>
      </x:c>
      <x:c r="I7" s="28" t="str">
        <x:v>Protected /planning route redirects to login without authorized session</x:v>
      </x:c>
      <x:c r="J7" s="28" t="str">
        <x:v>Confirms guard, not persona authorization quality</x:v>
      </x:c>
      <x:c r="K7" s="28" t="str">
        <x:v>SCR-003-planning-auth-guard.png</x:v>
      </x:c>
      <x:c r="L7" s="28" t="str">
        <x:v>BP-001</x:v>
      </x:c>
    </x:row>
    <x:row r="8">
      <x:c r="A8" s="25"/>
      <x:c r="B8" s="25"/>
      <x:c r="C8" s="25"/>
      <x:c r="D8" s="25"/>
      <x:c r="E8" s="25"/>
      <x:c r="F8" s="25"/>
      <x:c r="G8" s="25"/>
      <x:c r="H8" s="25"/>
      <x:c r="I8" s="25"/>
      <x:c r="J8" s="25"/>
      <x:c r="K8" s="25"/>
      <x:c r="L8" s="25"/>
    </x:row>
    <x:row r="9">
      <x:c r="A9" s="25" t="str">
        <x:v>SCR-001 — runtime evidence</x:v>
      </x:c>
      <x:c r="B9" s="25"/>
      <x:c r="C9" s="25"/>
      <x:c r="D9" s="25"/>
      <x:c r="E9" s="25"/>
      <x:c r="F9" s="25"/>
      <x:c r="G9" s="25"/>
      <x:c r="H9" s="25"/>
      <x:c r="I9" s="25"/>
      <x:c r="J9" s="25"/>
      <x:c r="K9" s="25"/>
      <x:c r="L9" s="25"/>
    </x:row>
    <x:row r="10">
      <x:c r="A10" s="25"/>
      <x:c r="B10" s="25"/>
      <x:c r="C10" s="25"/>
      <x:c r="D10" s="25"/>
      <x:c r="E10" s="25"/>
      <x:c r="F10" s="25"/>
      <x:c r="G10" s="25"/>
      <x:c r="H10" s="25"/>
      <x:c r="I10" s="25"/>
      <x:c r="J10" s="25"/>
      <x:c r="K10" s="25"/>
      <x:c r="L10" s="25"/>
    </x:row>
    <x:row r="11">
      <x:c r="A11" s="25"/>
      <x:c r="B11" s="25"/>
      <x:c r="C11" s="25"/>
      <x:c r="D11" s="25"/>
      <x:c r="E11" s="25"/>
      <x:c r="F11" s="25"/>
      <x:c r="G11" s="25"/>
      <x:c r="H11" s="25"/>
      <x:c r="I11" s="25"/>
      <x:c r="J11" s="25"/>
      <x:c r="K11" s="25"/>
      <x:c r="L11" s="25"/>
    </x:row>
    <x:row r="12">
      <x:c r="A12" s="25"/>
      <x:c r="B12" s="25"/>
      <x:c r="C12" s="25"/>
      <x:c r="D12" s="25"/>
      <x:c r="E12" s="25"/>
      <x:c r="F12" s="25"/>
      <x:c r="G12" s="25"/>
      <x:c r="H12" s="25"/>
      <x:c r="I12" s="25"/>
      <x:c r="J12" s="25"/>
      <x:c r="K12" s="25"/>
      <x:c r="L12" s="25"/>
    </x:row>
    <x:row r="13">
      <x:c r="A13" s="25"/>
      <x:c r="B13" s="25"/>
      <x:c r="C13" s="25"/>
      <x:c r="D13" s="25"/>
      <x:c r="E13" s="25"/>
      <x:c r="F13" s="25"/>
      <x:c r="G13" s="25"/>
      <x:c r="H13" s="25"/>
      <x:c r="I13" s="25"/>
      <x:c r="J13" s="25"/>
      <x:c r="K13" s="25"/>
      <x:c r="L13" s="25"/>
    </x:row>
    <x:row r="14">
      <x:c r="A14" s="25"/>
      <x:c r="B14" s="25"/>
      <x:c r="C14" s="25"/>
      <x:c r="D14" s="25"/>
      <x:c r="E14" s="25"/>
      <x:c r="F14" s="25"/>
      <x:c r="G14" s="25"/>
      <x:c r="H14" s="25"/>
      <x:c r="I14" s="25"/>
      <x:c r="J14" s="25"/>
      <x:c r="K14" s="25"/>
      <x:c r="L14" s="25"/>
    </x:row>
    <x:row r="15">
      <x:c r="A15" s="25"/>
      <x:c r="B15" s="25"/>
      <x:c r="C15" s="25"/>
      <x:c r="D15" s="25"/>
      <x:c r="E15" s="25"/>
      <x:c r="F15" s="25"/>
      <x:c r="G15" s="25"/>
      <x:c r="H15" s="25"/>
      <x:c r="I15" s="25"/>
      <x:c r="J15" s="25"/>
      <x:c r="K15" s="25"/>
      <x:c r="L15" s="25"/>
    </x:row>
    <x:row r="16">
      <x:c r="A16" s="25"/>
      <x:c r="B16" s="25"/>
      <x:c r="C16" s="25"/>
      <x:c r="D16" s="25"/>
      <x:c r="E16" s="25"/>
      <x:c r="F16" s="25"/>
      <x:c r="G16" s="25"/>
      <x:c r="H16" s="25"/>
      <x:c r="I16" s="25"/>
      <x:c r="J16" s="25"/>
      <x:c r="K16" s="25"/>
      <x:c r="L16" s="25"/>
    </x:row>
    <x:row r="17">
      <x:c r="A17" s="25"/>
      <x:c r="B17" s="25"/>
      <x:c r="C17" s="25"/>
      <x:c r="D17" s="25"/>
      <x:c r="E17" s="25"/>
      <x:c r="F17" s="25"/>
      <x:c r="G17" s="25"/>
      <x:c r="H17" s="25"/>
      <x:c r="I17" s="25"/>
      <x:c r="J17" s="25"/>
      <x:c r="K17" s="25"/>
      <x:c r="L17" s="25"/>
    </x:row>
    <x:row r="18">
      <x:c r="A18" s="25"/>
      <x:c r="B18" s="25"/>
      <x:c r="C18" s="25"/>
      <x:c r="D18" s="25"/>
      <x:c r="E18" s="25"/>
      <x:c r="F18" s="25"/>
      <x:c r="G18" s="25"/>
      <x:c r="H18" s="25"/>
      <x:c r="I18" s="25"/>
      <x:c r="J18" s="25"/>
      <x:c r="K18" s="25"/>
      <x:c r="L18" s="25"/>
    </x:row>
    <x:row r="19">
      <x:c r="A19" s="25"/>
      <x:c r="B19" s="25"/>
      <x:c r="C19" s="25"/>
      <x:c r="D19" s="25"/>
      <x:c r="E19" s="25"/>
      <x:c r="F19" s="25"/>
      <x:c r="G19" s="25"/>
      <x:c r="H19" s="25"/>
      <x:c r="I19" s="25"/>
      <x:c r="J19" s="25"/>
      <x:c r="K19" s="25"/>
      <x:c r="L19" s="25"/>
    </x:row>
    <x:row r="20">
      <x:c r="A20" s="25"/>
      <x:c r="B20" s="25"/>
      <x:c r="C20" s="25"/>
      <x:c r="D20" s="25"/>
      <x:c r="E20" s="25"/>
      <x:c r="F20" s="25"/>
      <x:c r="G20" s="25"/>
      <x:c r="H20" s="25"/>
      <x:c r="I20" s="25"/>
      <x:c r="J20" s="25"/>
      <x:c r="K20" s="25"/>
      <x:c r="L20" s="25"/>
    </x:row>
    <x:row r="21">
      <x:c r="A21" s="25"/>
      <x:c r="B21" s="25"/>
      <x:c r="C21" s="25"/>
      <x:c r="D21" s="25"/>
      <x:c r="E21" s="25"/>
      <x:c r="F21" s="25"/>
      <x:c r="G21" s="25"/>
      <x:c r="H21" s="25"/>
      <x:c r="I21" s="25"/>
      <x:c r="J21" s="25"/>
      <x:c r="K21" s="25"/>
      <x:c r="L21" s="25"/>
    </x:row>
    <x:row r="22">
      <x:c r="A22" s="25"/>
      <x:c r="B22" s="25"/>
      <x:c r="C22" s="25"/>
      <x:c r="D22" s="25"/>
      <x:c r="E22" s="25"/>
      <x:c r="F22" s="25"/>
      <x:c r="G22" s="25"/>
      <x:c r="H22" s="25"/>
      <x:c r="I22" s="25"/>
      <x:c r="J22" s="25"/>
      <x:c r="K22" s="25"/>
      <x:c r="L22" s="25"/>
    </x:row>
    <x:row r="23">
      <x:c r="A23" s="25"/>
      <x:c r="B23" s="25"/>
      <x:c r="C23" s="25"/>
      <x:c r="D23" s="25"/>
      <x:c r="E23" s="25"/>
      <x:c r="F23" s="25"/>
      <x:c r="G23" s="25"/>
      <x:c r="H23" s="25"/>
      <x:c r="I23" s="25"/>
      <x:c r="J23" s="25"/>
      <x:c r="K23" s="25"/>
      <x:c r="L23" s="25"/>
    </x:row>
    <x:row r="24">
      <x:c r="A24" s="25"/>
      <x:c r="B24" s="25"/>
      <x:c r="C24" s="25"/>
      <x:c r="D24" s="25"/>
      <x:c r="E24" s="25"/>
      <x:c r="F24" s="25"/>
      <x:c r="G24" s="25"/>
      <x:c r="H24" s="25"/>
      <x:c r="I24" s="25"/>
      <x:c r="J24" s="25"/>
      <x:c r="K24" s="25"/>
      <x:c r="L24" s="25"/>
    </x:row>
    <x:row r="25">
      <x:c r="A25" s="25"/>
      <x:c r="B25" s="25"/>
      <x:c r="C25" s="25"/>
      <x:c r="D25" s="25"/>
      <x:c r="E25" s="25"/>
      <x:c r="F25" s="25"/>
      <x:c r="G25" s="25"/>
      <x:c r="H25" s="25"/>
      <x:c r="I25" s="25"/>
      <x:c r="J25" s="25"/>
      <x:c r="K25" s="25"/>
      <x:c r="L25" s="25"/>
    </x:row>
    <x:row r="26">
      <x:c r="A26" s="25"/>
      <x:c r="B26" s="25"/>
      <x:c r="C26" s="25"/>
      <x:c r="D26" s="25"/>
      <x:c r="E26" s="25"/>
      <x:c r="F26" s="25"/>
      <x:c r="G26" s="25"/>
      <x:c r="H26" s="25"/>
      <x:c r="I26" s="25"/>
      <x:c r="J26" s="25"/>
      <x:c r="K26" s="25"/>
      <x:c r="L26" s="25"/>
    </x:row>
    <x:row r="27">
      <x:c r="A27" s="25"/>
      <x:c r="B27" s="25"/>
      <x:c r="C27" s="25"/>
      <x:c r="D27" s="25"/>
      <x:c r="E27" s="25"/>
      <x:c r="F27" s="25"/>
      <x:c r="G27" s="25"/>
      <x:c r="H27" s="25"/>
      <x:c r="I27" s="25"/>
      <x:c r="J27" s="25"/>
      <x:c r="K27" s="25"/>
      <x:c r="L27" s="25"/>
    </x:row>
    <x:row r="28">
      <x:c r="A28" s="25"/>
      <x:c r="B28" s="25"/>
      <x:c r="C28" s="25"/>
      <x:c r="D28" s="25"/>
      <x:c r="E28" s="25"/>
      <x:c r="F28" s="25"/>
      <x:c r="G28" s="25"/>
      <x:c r="H28" s="25"/>
      <x:c r="I28" s="25"/>
      <x:c r="J28" s="25"/>
      <x:c r="K28" s="25"/>
      <x:c r="L28" s="25"/>
    </x:row>
    <x:row r="29">
      <x:c r="A29" s="25"/>
      <x:c r="B29" s="25"/>
      <x:c r="C29" s="25"/>
      <x:c r="D29" s="25"/>
      <x:c r="E29" s="25"/>
      <x:c r="F29" s="25"/>
      <x:c r="G29" s="25"/>
      <x:c r="H29" s="25"/>
      <x:c r="I29" s="25"/>
      <x:c r="J29" s="25"/>
      <x:c r="K29" s="25"/>
      <x:c r="L29" s="25"/>
    </x:row>
    <x:row r="30">
      <x:c r="A30" s="25"/>
      <x:c r="B30" s="25"/>
      <x:c r="C30" s="25"/>
      <x:c r="D30" s="25"/>
      <x:c r="E30" s="25"/>
      <x:c r="F30" s="25"/>
      <x:c r="G30" s="25"/>
      <x:c r="H30" s="25"/>
      <x:c r="I30" s="25"/>
      <x:c r="J30" s="25"/>
      <x:c r="K30" s="25"/>
      <x:c r="L30" s="25"/>
    </x:row>
    <x:row r="31">
      <x:c r="A31" s="25"/>
      <x:c r="B31" s="25"/>
      <x:c r="C31" s="25"/>
      <x:c r="D31" s="25"/>
      <x:c r="E31" s="25"/>
      <x:c r="F31" s="25"/>
      <x:c r="G31" s="25"/>
      <x:c r="H31" s="25"/>
      <x:c r="I31" s="25"/>
      <x:c r="J31" s="25"/>
      <x:c r="K31" s="25"/>
      <x:c r="L31" s="25"/>
    </x:row>
    <x:row r="32">
      <x:c r="A32" s="25"/>
      <x:c r="B32" s="25"/>
      <x:c r="C32" s="25"/>
      <x:c r="D32" s="25"/>
      <x:c r="E32" s="25"/>
      <x:c r="F32" s="25"/>
      <x:c r="G32" s="25"/>
      <x:c r="H32" s="25"/>
      <x:c r="I32" s="25"/>
      <x:c r="J32" s="25"/>
      <x:c r="K32" s="25"/>
      <x:c r="L32" s="25"/>
    </x:row>
    <x:row r="33">
      <x:c r="A33" s="25"/>
      <x:c r="B33" s="25"/>
      <x:c r="C33" s="25"/>
      <x:c r="D33" s="25"/>
      <x:c r="E33" s="25"/>
      <x:c r="F33" s="25"/>
      <x:c r="G33" s="25"/>
      <x:c r="H33" s="25"/>
      <x:c r="I33" s="25"/>
      <x:c r="J33" s="25"/>
      <x:c r="K33" s="25"/>
      <x:c r="L33" s="25"/>
    </x:row>
    <x:row r="34">
      <x:c r="A34" s="25"/>
      <x:c r="B34" s="25"/>
      <x:c r="C34" s="25"/>
      <x:c r="D34" s="25"/>
      <x:c r="E34" s="25"/>
      <x:c r="F34" s="25"/>
      <x:c r="G34" s="25"/>
      <x:c r="H34" s="25"/>
      <x:c r="I34" s="25"/>
      <x:c r="J34" s="25"/>
      <x:c r="K34" s="25"/>
      <x:c r="L34" s="25"/>
    </x:row>
    <x:row r="35">
      <x:c r="A35" s="25"/>
      <x:c r="B35" s="25"/>
      <x:c r="C35" s="25"/>
      <x:c r="D35" s="25"/>
      <x:c r="E35" s="25"/>
      <x:c r="F35" s="25"/>
      <x:c r="G35" s="25"/>
      <x:c r="H35" s="25"/>
      <x:c r="I35" s="25"/>
      <x:c r="J35" s="25"/>
      <x:c r="K35" s="25"/>
      <x:c r="L35" s="25"/>
    </x:row>
    <x:row r="36">
      <x:c r="A36" s="25"/>
      <x:c r="B36" s="25"/>
      <x:c r="C36" s="25"/>
      <x:c r="D36" s="25"/>
      <x:c r="E36" s="25"/>
      <x:c r="F36" s="25"/>
      <x:c r="G36" s="25"/>
      <x:c r="H36" s="25"/>
      <x:c r="I36" s="25"/>
      <x:c r="J36" s="25"/>
      <x:c r="K36" s="25"/>
      <x:c r="L36" s="25"/>
    </x:row>
    <x:row r="37">
      <x:c r="A37" s="25"/>
      <x:c r="B37" s="25"/>
      <x:c r="C37" s="25"/>
      <x:c r="D37" s="25"/>
      <x:c r="E37" s="25"/>
      <x:c r="F37" s="25"/>
      <x:c r="G37" s="25"/>
      <x:c r="H37" s="25"/>
      <x:c r="I37" s="25"/>
      <x:c r="J37" s="25"/>
      <x:c r="K37" s="25"/>
      <x:c r="L37" s="25"/>
    </x:row>
    <x:row r="38">
      <x:c r="A38" s="25"/>
      <x:c r="B38" s="25"/>
      <x:c r="C38" s="25"/>
      <x:c r="D38" s="25"/>
      <x:c r="E38" s="25"/>
      <x:c r="F38" s="25"/>
      <x:c r="G38" s="25"/>
      <x:c r="H38" s="25"/>
      <x:c r="I38" s="25"/>
      <x:c r="J38" s="25"/>
      <x:c r="K38" s="25"/>
      <x:c r="L38" s="25"/>
    </x:row>
    <x:row r="39">
      <x:c r="A39" s="25"/>
      <x:c r="B39" s="25"/>
      <x:c r="C39" s="25"/>
      <x:c r="D39" s="25"/>
      <x:c r="E39" s="25"/>
      <x:c r="F39" s="25"/>
      <x:c r="G39" s="25"/>
      <x:c r="H39" s="25"/>
      <x:c r="I39" s="25"/>
      <x:c r="J39" s="25"/>
      <x:c r="K39" s="25"/>
      <x:c r="L39" s="25"/>
    </x:row>
    <x:row r="40">
      <x:c r="A40" s="25"/>
      <x:c r="B40" s="25"/>
      <x:c r="C40" s="25"/>
      <x:c r="D40" s="25"/>
      <x:c r="E40" s="25"/>
      <x:c r="F40" s="25"/>
      <x:c r="G40" s="25"/>
      <x:c r="H40" s="25"/>
      <x:c r="I40" s="25"/>
      <x:c r="J40" s="25"/>
      <x:c r="K40" s="25"/>
      <x:c r="L40" s="25"/>
    </x:row>
    <x:row r="41">
      <x:c r="A41" s="25" t="str">
        <x:v>SCR-002 — runtime evidence</x:v>
      </x:c>
      <x:c r="B41" s="25"/>
      <x:c r="C41" s="25"/>
      <x:c r="D41" s="25"/>
      <x:c r="E41" s="25"/>
      <x:c r="F41" s="25"/>
      <x:c r="G41" s="25"/>
      <x:c r="H41" s="25"/>
      <x:c r="I41" s="25"/>
      <x:c r="J41" s="25"/>
      <x:c r="K41" s="25"/>
      <x:c r="L41" s="25"/>
    </x:row>
    <x:row r="42">
      <x:c r="A42" s="25"/>
      <x:c r="B42" s="25"/>
      <x:c r="C42" s="25"/>
      <x:c r="D42" s="25"/>
      <x:c r="E42" s="25"/>
      <x:c r="F42" s="25"/>
      <x:c r="G42" s="25"/>
      <x:c r="H42" s="25"/>
      <x:c r="I42" s="25"/>
      <x:c r="J42" s="25"/>
      <x:c r="K42" s="25"/>
      <x:c r="L42" s="25"/>
    </x:row>
    <x:row r="43">
      <x:c r="A43" s="25"/>
      <x:c r="B43" s="25"/>
      <x:c r="C43" s="25"/>
      <x:c r="D43" s="25"/>
      <x:c r="E43" s="25"/>
      <x:c r="F43" s="25"/>
      <x:c r="G43" s="25"/>
      <x:c r="H43" s="25"/>
      <x:c r="I43" s="25"/>
      <x:c r="J43" s="25"/>
      <x:c r="K43" s="25"/>
      <x:c r="L43" s="25"/>
    </x:row>
    <x:row r="44">
      <x:c r="A44" s="25"/>
      <x:c r="B44" s="25"/>
      <x:c r="C44" s="25"/>
      <x:c r="D44" s="25"/>
      <x:c r="E44" s="25"/>
      <x:c r="F44" s="25"/>
      <x:c r="G44" s="25"/>
      <x:c r="H44" s="25"/>
      <x:c r="I44" s="25"/>
      <x:c r="J44" s="25"/>
      <x:c r="K44" s="25"/>
      <x:c r="L44" s="25"/>
    </x:row>
    <x:row r="45">
      <x:c r="A45" s="25"/>
      <x:c r="B45" s="25"/>
      <x:c r="C45" s="25"/>
      <x:c r="D45" s="25"/>
      <x:c r="E45" s="25"/>
      <x:c r="F45" s="25"/>
      <x:c r="G45" s="25"/>
      <x:c r="H45" s="25"/>
      <x:c r="I45" s="25"/>
      <x:c r="J45" s="25"/>
      <x:c r="K45" s="25"/>
      <x:c r="L45" s="25"/>
    </x:row>
    <x:row r="46">
      <x:c r="A46" s="25"/>
      <x:c r="B46" s="25"/>
      <x:c r="C46" s="25"/>
      <x:c r="D46" s="25"/>
      <x:c r="E46" s="25"/>
      <x:c r="F46" s="25"/>
      <x:c r="G46" s="25"/>
      <x:c r="H46" s="25"/>
      <x:c r="I46" s="25"/>
      <x:c r="J46" s="25"/>
      <x:c r="K46" s="25"/>
      <x:c r="L46" s="25"/>
    </x:row>
    <x:row r="47">
      <x:c r="A47" s="25"/>
      <x:c r="B47" s="25"/>
      <x:c r="C47" s="25"/>
      <x:c r="D47" s="25"/>
      <x:c r="E47" s="25"/>
      <x:c r="F47" s="25"/>
      <x:c r="G47" s="25"/>
      <x:c r="H47" s="25"/>
      <x:c r="I47" s="25"/>
      <x:c r="J47" s="25"/>
      <x:c r="K47" s="25"/>
      <x:c r="L47" s="25"/>
    </x:row>
    <x:row r="48">
      <x:c r="A48" s="25"/>
      <x:c r="B48" s="25"/>
      <x:c r="C48" s="25"/>
      <x:c r="D48" s="25"/>
      <x:c r="E48" s="25"/>
      <x:c r="F48" s="25"/>
      <x:c r="G48" s="25"/>
      <x:c r="H48" s="25"/>
      <x:c r="I48" s="25"/>
      <x:c r="J48" s="25"/>
      <x:c r="K48" s="25"/>
      <x:c r="L48" s="25"/>
    </x:row>
    <x:row r="49">
      <x:c r="A49" s="25"/>
      <x:c r="B49" s="25"/>
      <x:c r="C49" s="25"/>
      <x:c r="D49" s="25"/>
      <x:c r="E49" s="25"/>
      <x:c r="F49" s="25"/>
      <x:c r="G49" s="25"/>
      <x:c r="H49" s="25"/>
      <x:c r="I49" s="25"/>
      <x:c r="J49" s="25"/>
      <x:c r="K49" s="25"/>
      <x:c r="L49" s="25"/>
    </x:row>
    <x:row r="50">
      <x:c r="A50" s="25"/>
      <x:c r="B50" s="25"/>
      <x:c r="C50" s="25"/>
      <x:c r="D50" s="25"/>
      <x:c r="E50" s="25"/>
      <x:c r="F50" s="25"/>
      <x:c r="G50" s="25"/>
      <x:c r="H50" s="25"/>
      <x:c r="I50" s="25"/>
      <x:c r="J50" s="25"/>
      <x:c r="K50" s="25"/>
      <x:c r="L50" s="25"/>
    </x:row>
    <x:row r="51">
      <x:c r="A51" s="25"/>
      <x:c r="B51" s="25"/>
      <x:c r="C51" s="25"/>
      <x:c r="D51" s="25"/>
      <x:c r="E51" s="25"/>
      <x:c r="F51" s="25"/>
      <x:c r="G51" s="25"/>
      <x:c r="H51" s="25"/>
      <x:c r="I51" s="25"/>
      <x:c r="J51" s="25"/>
      <x:c r="K51" s="25"/>
      <x:c r="L51" s="25"/>
    </x:row>
    <x:row r="52">
      <x:c r="A52" s="25"/>
      <x:c r="B52" s="25"/>
      <x:c r="C52" s="25"/>
      <x:c r="D52" s="25"/>
      <x:c r="E52" s="25"/>
      <x:c r="F52" s="25"/>
      <x:c r="G52" s="25"/>
      <x:c r="H52" s="25"/>
      <x:c r="I52" s="25"/>
      <x:c r="J52" s="25"/>
      <x:c r="K52" s="25"/>
      <x:c r="L52" s="25"/>
    </x:row>
    <x:row r="53">
      <x:c r="A53" s="25"/>
      <x:c r="B53" s="25"/>
      <x:c r="C53" s="25"/>
      <x:c r="D53" s="25"/>
      <x:c r="E53" s="25"/>
      <x:c r="F53" s="25"/>
      <x:c r="G53" s="25"/>
      <x:c r="H53" s="25"/>
      <x:c r="I53" s="25"/>
      <x:c r="J53" s="25"/>
      <x:c r="K53" s="25"/>
      <x:c r="L53" s="25"/>
    </x:row>
    <x:row r="54">
      <x:c r="A54" s="25"/>
      <x:c r="B54" s="25"/>
      <x:c r="C54" s="25"/>
      <x:c r="D54" s="25"/>
      <x:c r="E54" s="25"/>
      <x:c r="F54" s="25"/>
      <x:c r="G54" s="25"/>
      <x:c r="H54" s="25"/>
      <x:c r="I54" s="25"/>
      <x:c r="J54" s="25"/>
      <x:c r="K54" s="25"/>
      <x:c r="L54" s="25"/>
    </x:row>
    <x:row r="55">
      <x:c r="A55" s="25"/>
      <x:c r="B55" s="25"/>
      <x:c r="C55" s="25"/>
      <x:c r="D55" s="25"/>
      <x:c r="E55" s="25"/>
      <x:c r="F55" s="25"/>
      <x:c r="G55" s="25"/>
      <x:c r="H55" s="25"/>
      <x:c r="I55" s="25"/>
      <x:c r="J55" s="25"/>
      <x:c r="K55" s="25"/>
      <x:c r="L55" s="25"/>
    </x:row>
    <x:row r="56">
      <x:c r="A56" s="25"/>
      <x:c r="B56" s="25"/>
      <x:c r="C56" s="25"/>
      <x:c r="D56" s="25"/>
      <x:c r="E56" s="25"/>
      <x:c r="F56" s="25"/>
      <x:c r="G56" s="25"/>
      <x:c r="H56" s="25"/>
      <x:c r="I56" s="25"/>
      <x:c r="J56" s="25"/>
      <x:c r="K56" s="25"/>
      <x:c r="L56" s="25"/>
    </x:row>
    <x:row r="57">
      <x:c r="A57" s="25"/>
      <x:c r="B57" s="25"/>
      <x:c r="C57" s="25"/>
      <x:c r="D57" s="25"/>
      <x:c r="E57" s="25"/>
      <x:c r="F57" s="25"/>
      <x:c r="G57" s="25"/>
      <x:c r="H57" s="25"/>
      <x:c r="I57" s="25"/>
      <x:c r="J57" s="25"/>
      <x:c r="K57" s="25"/>
      <x:c r="L57" s="25"/>
    </x:row>
    <x:row r="58">
      <x:c r="A58" s="25"/>
      <x:c r="B58" s="25"/>
      <x:c r="C58" s="25"/>
      <x:c r="D58" s="25"/>
      <x:c r="E58" s="25"/>
      <x:c r="F58" s="25"/>
      <x:c r="G58" s="25"/>
      <x:c r="H58" s="25"/>
      <x:c r="I58" s="25"/>
      <x:c r="J58" s="25"/>
      <x:c r="K58" s="25"/>
      <x:c r="L58" s="25"/>
    </x:row>
    <x:row r="59">
      <x:c r="A59" s="25"/>
      <x:c r="B59" s="25"/>
      <x:c r="C59" s="25"/>
      <x:c r="D59" s="25"/>
      <x:c r="E59" s="25"/>
      <x:c r="F59" s="25"/>
      <x:c r="G59" s="25"/>
      <x:c r="H59" s="25"/>
      <x:c r="I59" s="25"/>
      <x:c r="J59" s="25"/>
      <x:c r="K59" s="25"/>
      <x:c r="L59" s="25"/>
    </x:row>
    <x:row r="60">
      <x:c r="A60" s="25"/>
      <x:c r="B60" s="25"/>
      <x:c r="C60" s="25"/>
      <x:c r="D60" s="25"/>
      <x:c r="E60" s="25"/>
      <x:c r="F60" s="25"/>
      <x:c r="G60" s="25"/>
      <x:c r="H60" s="25"/>
      <x:c r="I60" s="25"/>
      <x:c r="J60" s="25"/>
      <x:c r="K60" s="25"/>
      <x:c r="L60" s="25"/>
    </x:row>
    <x:row r="61">
      <x:c r="A61" s="25"/>
      <x:c r="B61" s="25"/>
      <x:c r="C61" s="25"/>
      <x:c r="D61" s="25"/>
      <x:c r="E61" s="25"/>
      <x:c r="F61" s="25"/>
      <x:c r="G61" s="25"/>
      <x:c r="H61" s="25"/>
      <x:c r="I61" s="25"/>
      <x:c r="J61" s="25"/>
      <x:c r="K61" s="25"/>
      <x:c r="L61" s="25"/>
    </x:row>
    <x:row r="62">
      <x:c r="A62" s="25"/>
      <x:c r="B62" s="25"/>
      <x:c r="C62" s="25"/>
      <x:c r="D62" s="25"/>
      <x:c r="E62" s="25"/>
      <x:c r="F62" s="25"/>
      <x:c r="G62" s="25"/>
      <x:c r="H62" s="25"/>
      <x:c r="I62" s="25"/>
      <x:c r="J62" s="25"/>
      <x:c r="K62" s="25"/>
      <x:c r="L62" s="25"/>
    </x:row>
    <x:row r="63">
      <x:c r="A63" s="25"/>
      <x:c r="B63" s="25"/>
      <x:c r="C63" s="25"/>
      <x:c r="D63" s="25"/>
      <x:c r="E63" s="25"/>
      <x:c r="F63" s="25"/>
      <x:c r="G63" s="25"/>
      <x:c r="H63" s="25"/>
      <x:c r="I63" s="25"/>
      <x:c r="J63" s="25"/>
      <x:c r="K63" s="25"/>
      <x:c r="L63" s="25"/>
    </x:row>
    <x:row r="64">
      <x:c r="A64" s="25"/>
      <x:c r="B64" s="25"/>
      <x:c r="C64" s="25"/>
      <x:c r="D64" s="25"/>
      <x:c r="E64" s="25"/>
      <x:c r="F64" s="25"/>
      <x:c r="G64" s="25"/>
      <x:c r="H64" s="25"/>
      <x:c r="I64" s="25"/>
      <x:c r="J64" s="25"/>
      <x:c r="K64" s="25"/>
      <x:c r="L64" s="25"/>
    </x:row>
    <x:row r="65">
      <x:c r="A65" s="25"/>
      <x:c r="B65" s="25"/>
      <x:c r="C65" s="25"/>
      <x:c r="D65" s="25"/>
      <x:c r="E65" s="25"/>
      <x:c r="F65" s="25"/>
      <x:c r="G65" s="25"/>
      <x:c r="H65" s="25"/>
      <x:c r="I65" s="25"/>
      <x:c r="J65" s="25"/>
      <x:c r="K65" s="25"/>
      <x:c r="L65" s="25"/>
    </x:row>
    <x:row r="66">
      <x:c r="A66" s="25"/>
      <x:c r="B66" s="25"/>
      <x:c r="C66" s="25"/>
      <x:c r="D66" s="25"/>
      <x:c r="E66" s="25"/>
      <x:c r="F66" s="25"/>
      <x:c r="G66" s="25"/>
      <x:c r="H66" s="25"/>
      <x:c r="I66" s="25"/>
      <x:c r="J66" s="25"/>
      <x:c r="K66" s="25"/>
      <x:c r="L66" s="25"/>
    </x:row>
    <x:row r="67">
      <x:c r="A67" s="25"/>
      <x:c r="B67" s="25"/>
      <x:c r="C67" s="25"/>
      <x:c r="D67" s="25"/>
      <x:c r="E67" s="25"/>
      <x:c r="F67" s="25"/>
      <x:c r="G67" s="25"/>
      <x:c r="H67" s="25"/>
      <x:c r="I67" s="25"/>
      <x:c r="J67" s="25"/>
      <x:c r="K67" s="25"/>
      <x:c r="L67" s="25"/>
    </x:row>
    <x:row r="68">
      <x:c r="A68" s="25"/>
      <x:c r="B68" s="25"/>
      <x:c r="C68" s="25"/>
      <x:c r="D68" s="25"/>
      <x:c r="E68" s="25"/>
      <x:c r="F68" s="25"/>
      <x:c r="G68" s="25"/>
      <x:c r="H68" s="25"/>
      <x:c r="I68" s="25"/>
      <x:c r="J68" s="25"/>
      <x:c r="K68" s="25"/>
      <x:c r="L68" s="25"/>
    </x:row>
    <x:row r="69">
      <x:c r="A69" s="25"/>
      <x:c r="B69" s="25"/>
      <x:c r="C69" s="25"/>
      <x:c r="D69" s="25"/>
      <x:c r="E69" s="25"/>
      <x:c r="F69" s="25"/>
      <x:c r="G69" s="25"/>
      <x:c r="H69" s="25"/>
      <x:c r="I69" s="25"/>
      <x:c r="J69" s="25"/>
      <x:c r="K69" s="25"/>
      <x:c r="L69" s="25"/>
    </x:row>
    <x:row r="70">
      <x:c r="A70" s="25"/>
      <x:c r="B70" s="25"/>
      <x:c r="C70" s="25"/>
      <x:c r="D70" s="25"/>
      <x:c r="E70" s="25"/>
      <x:c r="F70" s="25"/>
      <x:c r="G70" s="25"/>
      <x:c r="H70" s="25"/>
      <x:c r="I70" s="25"/>
      <x:c r="J70" s="25"/>
      <x:c r="K70" s="25"/>
      <x:c r="L70" s="25"/>
    </x:row>
    <x:row r="71">
      <x:c r="A71" s="25"/>
      <x:c r="B71" s="25"/>
      <x:c r="C71" s="25"/>
      <x:c r="D71" s="25"/>
      <x:c r="E71" s="25"/>
      <x:c r="F71" s="25"/>
      <x:c r="G71" s="25"/>
      <x:c r="H71" s="25"/>
      <x:c r="I71" s="25"/>
      <x:c r="J71" s="25"/>
      <x:c r="K71" s="25"/>
      <x:c r="L71" s="25"/>
    </x:row>
    <x:row r="72">
      <x:c r="A72" s="25"/>
      <x:c r="B72" s="25"/>
      <x:c r="C72" s="25"/>
      <x:c r="D72" s="25"/>
      <x:c r="E72" s="25"/>
      <x:c r="F72" s="25"/>
      <x:c r="G72" s="25"/>
      <x:c r="H72" s="25"/>
      <x:c r="I72" s="25"/>
      <x:c r="J72" s="25"/>
      <x:c r="K72" s="25"/>
      <x:c r="L72" s="25"/>
    </x:row>
    <x:row r="73">
      <x:c r="A73" s="25" t="str">
        <x:v>SCR-003 — runtime evidence</x:v>
      </x:c>
      <x:c r="B73" s="25"/>
      <x:c r="C73" s="25"/>
      <x:c r="D73" s="25"/>
      <x:c r="E73" s="25"/>
      <x:c r="F73" s="25"/>
      <x:c r="G73" s="25"/>
      <x:c r="H73" s="25"/>
      <x:c r="I73" s="25"/>
      <x:c r="J73" s="25"/>
      <x:c r="K73" s="25"/>
      <x:c r="L73" s="25"/>
    </x:row>
  </x:sheetData>
  <x:mergeCells>
    <x:mergeCell ref="A1:L1"/>
    <x:mergeCell ref="A9:L9"/>
    <x:mergeCell ref="A41:L41"/>
    <x:mergeCell ref="A73:L73"/>
  </x:mergeCells>
  <x:pageMargins left="0.7" right="0.7" top="0.75" bottom="0.75" header="0.3" footer="0.3"/>
  <x:drawing xmlns:r="http://schemas.openxmlformats.org/officeDocument/2006/relationships" r:id="R3fc913619d554f2b"/>
  <x:tableParts count="1">
    <x:tablePart xmlns:r="http://schemas.openxmlformats.org/officeDocument/2006/relationships" r:id="Re0ae02e96a8e4703"/>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19" hidden="0" customWidth="1"/>
    <x:col min="2" max="2" width="14" hidden="0" customWidth="1"/>
    <x:col min="3" max="3" width="18" hidden="0" customWidth="1"/>
    <x:col min="4" max="4" width="21" hidden="0" customWidth="1"/>
    <x:col min="5" max="5" width="17" hidden="0" customWidth="1"/>
    <x:col min="6" max="6" width="18" hidden="0" customWidth="1"/>
    <x:col min="7" max="7" width="21" hidden="0" customWidth="1"/>
    <x:col min="8" max="8" width="12" hidden="0" customWidth="1"/>
    <x:col min="9" max="9" width="21" hidden="0" customWidth="1"/>
  </x:cols>
  <x:sheetData>
    <x:row r="1" ht="30" customHeight="1">
      <x:c r="A1" s="24" t="str">
        <x:v>16 COVERAGE MATRIX</x:v>
      </x:c>
      <x:c r="B1" s="25"/>
      <x:c r="C1" s="25"/>
      <x:c r="D1" s="25"/>
      <x:c r="E1" s="25"/>
      <x:c r="F1" s="25"/>
      <x:c r="G1" s="25"/>
      <x:c r="H1" s="25"/>
      <x:c r="I1" s="25"/>
    </x:row>
    <x:row r="2" ht="30" customHeight="1">
      <x:c r="A2" s="26" t="str">
        <x:v>Audit snapshot · 2026-07-30 (Asia/Riyadh) · commit ada62124</x:v>
      </x:c>
      <x:c r="B2" s="26" t="str"/>
      <x:c r="C2" s="26" t="str"/>
      <x:c r="D2" s="26" t="str"/>
      <x:c r="E2" s="26" t="str"/>
      <x:c r="F2" s="26" t="str"/>
      <x:c r="G2" s="26" t="str"/>
      <x:c r="H2" s="26" t="str"/>
      <x:c r="I2" s="26" t="str"/>
    </x:row>
    <x:row r="3" ht="30" customHeight="1">
      <x:c r="A3" s="25"/>
      <x:c r="B3" s="25"/>
      <x:c r="C3" s="25"/>
      <x:c r="D3" s="25"/>
      <x:c r="E3" s="25"/>
      <x:c r="F3" s="25"/>
      <x:c r="G3" s="25"/>
      <x:c r="H3" s="25"/>
      <x:c r="I3" s="25"/>
    </x:row>
    <x:row r="4" ht="30" customHeight="1">
      <x:c r="A4" s="27" t="str">
        <x:v>Source item type</x:v>
      </x:c>
      <x:c r="B4" s="27" t="str">
        <x:v>Source item</x:v>
      </x:c>
      <x:c r="C4" s="27" t="str">
        <x:v>Source location</x:v>
      </x:c>
      <x:c r="D4" s="27" t="str">
        <x:v>Mapped journey IDs</x:v>
      </x:c>
      <x:c r="E4" s="27" t="str">
        <x:v>Mapped persona</x:v>
      </x:c>
      <x:c r="F4" s="27" t="str">
        <x:v>Coverage status</x:v>
      </x:c>
      <x:c r="G4" s="27" t="str">
        <x:v>Reason if unmapped</x:v>
      </x:c>
      <x:c r="H4" s="27" t="str">
        <x:v>Evidence</x:v>
      </x:c>
      <x:c r="I4" s="27" t="str">
        <x:v>Required follow-up</x:v>
      </x:c>
    </x:row>
    <x:row r="5" ht="30" customHeight="1">
      <x:c r="A5" s="28" t="str">
        <x:v>Route</x:v>
      </x:c>
      <x:c r="B5" s="28" t="str">
        <x:v>58 built app routes</x:v>
      </x:c>
      <x:c r="C5" s="28" t="str">
        <x:v>Next build output</x:v>
      </x:c>
      <x:c r="D5" s="28" t="str">
        <x:v>Journey and screen registers</x:v>
      </x:c>
      <x:c r="E5" s="28" t="str">
        <x:v>Multiple</x:v>
      </x:c>
      <x:c r="F5" s="28" t="str">
        <x:v>PARTIAL</x:v>
      </x:c>
      <x:c r="G5" s="28" t="str">
        <x:v>Authenticated routes not runtime-executed</x:v>
      </x:c>
      <x:c r="H5" s="28" t="str">
        <x:v>Build log + route inventory</x:v>
      </x:c>
      <x:c r="I5" s="28" t="str">
        <x:v>Safe persona tours</x:v>
      </x:c>
    </x:row>
    <x:row r="6" ht="30" customHeight="1">
      <x:c r="A6" s="28" t="str">
        <x:v>Screen</x:v>
      </x:c>
      <x:c r="B6" s="28" t="str">
        <x:v>Desktop/web material screens</x:v>
      </x:c>
      <x:c r="C6" s="28" t="str">
        <x:v>apps/web/src/app</x:v>
      </x:c>
      <x:c r="D6" s="28" t="str">
        <x:v>Mapped representative core screens</x:v>
      </x:c>
      <x:c r="E6" s="28" t="str">
        <x:v>Multiple</x:v>
      </x:c>
      <x:c r="F6" s="28" t="str">
        <x:v>PARTIAL</x:v>
      </x:c>
      <x:c r="G6" s="28" t="str">
        <x:v>Not every state rendered</x:v>
      </x:c>
      <x:c r="H6" s="28" t="str">
        <x:v>06_SCREEN_ATLAS</x:v>
      </x:c>
      <x:c r="I6" s="28" t="str">
        <x:v>Execute positive/negative/empty/loading/error states</x:v>
      </x:c>
    </x:row>
    <x:row r="7" ht="30" customHeight="1">
      <x:c r="A7" s="28" t="str">
        <x:v>Component</x:v>
      </x:c>
      <x:c r="B7" s="28" t="str">
        <x:v>Forms, modals, drawers, tabs</x:v>
      </x:c>
      <x:c r="C7" s="28" t="str">
        <x:v>apps/web/src</x:v>
      </x:c>
      <x:c r="D7" s="28" t="str">
        <x:v>Mapped at core journey level</x:v>
      </x:c>
      <x:c r="E7" s="28" t="str">
        <x:v>Multiple</x:v>
      </x:c>
      <x:c r="F7" s="28" t="str">
        <x:v>PARTIAL</x:v>
      </x:c>
      <x:c r="G7" s="28" t="str">
        <x:v>Full control inventory not exhaustively reconciled</x:v>
      </x:c>
      <x:c r="H7" s="28" t="str">
        <x:v>04_STEP_BY_STEP</x:v>
      </x:c>
      <x:c r="I7" s="28" t="str">
        <x:v>Automated static extraction and runtime walkthrough</x:v>
      </x:c>
    </x:row>
    <x:row r="8" ht="30" customHeight="1">
      <x:c r="A8" s="28" t="str">
        <x:v>Mutation</x:v>
      </x:c>
      <x:c r="B8" s="28" t="str">
        <x:v>Planning, execution, review, cases</x:v>
      </x:c>
      <x:c r="C8" s="28" t="str">
        <x:v>server actions/RPCs</x:v>
      </x:c>
      <x:c r="D8" s="28" t="str">
        <x:v>Golden thread mutations</x:v>
      </x:c>
      <x:c r="E8" s="28" t="str">
        <x:v>Multiple</x:v>
      </x:c>
      <x:c r="F8" s="28" t="str">
        <x:v>PARTIAL</x:v>
      </x:c>
      <x:c r="G8" s="28" t="str">
        <x:v>Exact symbols/columns not fully line-audited</x:v>
      </x:c>
      <x:c r="H8" s="28" t="str">
        <x:v>07_DATA_LINEAGE</x:v>
      </x:c>
      <x:c r="I8" s="28" t="str">
        <x:v>Trace every action to mutation and DB receipt</x:v>
      </x:c>
    </x:row>
    <x:row r="9" ht="30" customHeight="1">
      <x:c r="A9" s="28" t="str">
        <x:v>Table</x:v>
      </x:c>
      <x:c r="B9" s="28" t="str">
        <x:v>142 classified public tables</x:v>
      </x:c>
      <x:c r="C9" s="28" t="str">
        <x:v>SCHEMA_DOMAIN_MAP.md</x:v>
      </x:c>
      <x:c r="D9" s="28" t="str">
        <x:v>Core tables mapped</x:v>
      </x:c>
      <x:c r="E9" s="28" t="str">
        <x:v>System</x:v>
      </x:c>
      <x:c r="F9" s="28" t="str">
        <x:v>PARTIAL</x:v>
      </x:c>
      <x:c r="G9" s="28" t="str">
        <x:v>All 142 not individually mapped in workbook</x:v>
      </x:c>
      <x:c r="H9" s="28" t="str">
        <x:v>07_DATA_LINEAGE;16_COVERAGE_MATRIX</x:v>
      </x:c>
      <x:c r="I9" s="28" t="str">
        <x:v>Import full schema catalog</x:v>
      </x:c>
    </x:row>
    <x:row r="10" ht="30" customHeight="1">
      <x:c r="A10" s="28" t="str">
        <x:v>Status</x:v>
      </x:c>
      <x:c r="B10" s="28" t="str">
        <x:v>Planning/visit/inspection/case states</x:v>
      </x:c>
      <x:c r="C10" s="28" t="str">
        <x:v>Docs + source</x:v>
      </x:c>
      <x:c r="D10" s="28" t="str">
        <x:v>09_LIFECYCLE_STATE_MATRIX</x:v>
      </x:c>
      <x:c r="E10" s="28" t="str">
        <x:v>Multiple</x:v>
      </x:c>
      <x:c r="F10" s="28" t="str">
        <x:v>PARTIAL</x:v>
      </x:c>
      <x:c r="G10" s="28" t="str">
        <x:v>Reachability not runtime proven</x:v>
      </x:c>
      <x:c r="H10" s="28" t="str">
        <x:v>Lifecycle matrix</x:v>
      </x:c>
      <x:c r="I10" s="28" t="str">
        <x:v>Execute all transitions and invalid transitions</x:v>
      </x:c>
    </x:row>
    <x:row r="11" ht="30" customHeight="1">
      <x:c r="A11" s="28" t="str">
        <x:v>Notification</x:v>
      </x:c>
      <x:c r="B11" s="28" t="str">
        <x:v>notifications/preferences</x:v>
      </x:c>
      <x:c r="C11" s="28" t="str">
        <x:v>Schema + DQ report</x:v>
      </x:c>
      <x:c r="D11" s="28" t="str">
        <x:v>JRN-SYSTEM-NOTIFY-001</x:v>
      </x:c>
      <x:c r="E11" s="28" t="str">
        <x:v>System</x:v>
      </x:c>
      <x:c r="F11" s="28" t="str">
        <x:v>PARTIAL</x:v>
      </x:c>
      <x:c r="G11" s="28" t="str">
        <x:v>Delivery provider and preferences incomplete</x:v>
      </x:c>
      <x:c r="H11" s="28" t="str">
        <x:v>BP-021</x:v>
      </x:c>
      <x:c r="I11" s="28" t="str">
        <x:v>Deterministic sink tests</x:v>
      </x:c>
    </x:row>
    <x:row r="12" ht="30" customHeight="1">
      <x:c r="A12" s="28" t="str">
        <x:v>Permission</x:v>
      </x:c>
      <x:c r="B12" s="28" t="str">
        <x:v>roles/capabilities/RLS</x:v>
      </x:c>
      <x:c r="C12" s="28" t="str">
        <x:v>Source + schema</x:v>
      </x:c>
      <x:c r="D12" s="28" t="str">
        <x:v>10_PERMISSIONS_MATRIX</x:v>
      </x:c>
      <x:c r="E12" s="28" t="str">
        <x:v>Multiple</x:v>
      </x:c>
      <x:c r="F12" s="28" t="str">
        <x:v>PARTIAL</x:v>
      </x:c>
      <x:c r="G12" s="28" t="str">
        <x:v>No real persona JWT tests</x:v>
      </x:c>
      <x:c r="H12" s="28" t="str">
        <x:v>BP-001</x:v>
      </x:c>
      <x:c r="I12" s="28" t="str">
        <x:v>Run RLS expectation matrix</x:v>
      </x:c>
    </x:row>
    <x:row r="13" ht="30" customHeight="1">
      <x:c r="A13" s="28" t="str">
        <x:v>Requirement</x:v>
      </x:c>
      <x:c r="B13" s="28" t="str">
        <x:v>478 source requirements</x:v>
      </x:c>
      <x:c r="C13" s="28" t="str">
        <x:v>REQUIREMENT_TRACEABILITY.csv</x:v>
      </x:c>
      <x:c r="D13" s="28" t="str">
        <x:v>Journey-level only</x:v>
      </x:c>
      <x:c r="E13" s="28" t="str">
        <x:v>Multiple</x:v>
      </x:c>
      <x:c r="F13" s="28" t="str">
        <x:v>PARTIAL</x:v>
      </x:c>
      <x:c r="G13" s="28" t="str">
        <x:v>Row-by-row journey reconciliation not completed</x:v>
      </x:c>
      <x:c r="H13" s="28" t="str">
        <x:v>Requirement trace file</x:v>
      </x:c>
      <x:c r="I13" s="28" t="str">
        <x:v>Import all 478 rows and map</x:v>
      </x:c>
    </x:row>
    <x:row r="14" ht="30" customHeight="1">
      <x:c r="A14" s="28" t="str">
        <x:v>Test</x:v>
      </x:c>
      <x:c r="B14" s="28" t="str">
        <x:v>Playwright and contract tests</x:v>
      </x:c>
      <x:c r="C14" s="28" t="str">
        <x:v>apps/web/e2e</x:v>
      </x:c>
      <x:c r="D14" s="28" t="str">
        <x:v>Runtime attempted; build passed</x:v>
      </x:c>
      <x:c r="E14" s="28" t="str">
        <x:v>Multiple</x:v>
      </x:c>
      <x:c r="F14" s="28" t="str">
        <x:v>PARTIAL</x:v>
      </x:c>
      <x:c r="G14" s="28" t="str">
        <x:v>Mutating suite not run against shared environment</x:v>
      </x:c>
      <x:c r="H14" s="28" t="str">
        <x:v>Build output; auth screenshots</x:v>
      </x:c>
      <x:c r="I14" s="28" t="str">
        <x:v>Run safe fixture suite</x:v>
      </x:c>
    </x:row>
  </x:sheetData>
  <x:mergeCells>
    <x:mergeCell ref="A1:I1"/>
  </x:mergeCells>
  <x:pageMargins left="0.7" right="0.7" top="0.75" bottom="0.75" header="0.3" footer="0.3"/>
  <x:tableParts count="1">
    <x:tablePart xmlns:r="http://schemas.openxmlformats.org/officeDocument/2006/relationships" r:id="R68dab5d3e18a4daf"/>
  </x:tableParts>
</x:worksheet>
</file>

<file path=xl/worksheets/sheet18.xml><?xml version="1.0" encoding="utf-8"?>
<x:worksheet xmlns:x="http://schemas.openxmlformats.org/spreadsheetml/2006/main">
  <x:sheetViews>
    <x:sheetView showGridLines="0" workbookViewId="0"/>
  </x:sheetViews>
  <x:sheetFormatPr defaultRowHeight="15"/>
  <x:cols>
    <x:col min="1" max="1" width="22" hidden="0" customWidth="1"/>
    <x:col min="2" max="2" width="22" hidden="0" customWidth="1"/>
    <x:col min="3" max="3" width="13" hidden="0" customWidth="1"/>
    <x:col min="4" max="4" width="22" hidden="0" customWidth="1"/>
    <x:col min="5" max="5" width="27" hidden="0" customWidth="1"/>
    <x:col min="6" max="6" width="21" hidden="0" customWidth="1"/>
  </x:cols>
  <x:sheetData>
    <x:row r="1" ht="30" customHeight="1">
      <x:c r="A1" s="24" t="str">
        <x:v>17 DEDUPLICATION LOG</x:v>
      </x:c>
      <x:c r="B1" s="25"/>
      <x:c r="C1" s="25"/>
      <x:c r="D1" s="25"/>
      <x:c r="E1" s="25"/>
      <x:c r="F1" s="25"/>
    </x:row>
    <x:row r="2" ht="30" customHeight="1">
      <x:c r="A2" s="26" t="str">
        <x:v>Audit snapshot · 2026-07-30 (Asia/Riyadh) · commit ada62124</x:v>
      </x:c>
      <x:c r="B2" s="26" t="str"/>
      <x:c r="C2" s="26" t="str"/>
      <x:c r="D2" s="26" t="str"/>
      <x:c r="E2" s="26" t="str"/>
      <x:c r="F2" s="26" t="str"/>
    </x:row>
    <x:row r="3" ht="30" customHeight="1">
      <x:c r="A3" s="25"/>
      <x:c r="B3" s="25"/>
      <x:c r="C3" s="25"/>
      <x:c r="D3" s="25"/>
      <x:c r="E3" s="25"/>
      <x:c r="F3" s="25"/>
    </x:row>
    <x:row r="4" ht="30" customHeight="1">
      <x:c r="A4" s="27" t="str">
        <x:v>Candidate Journey A</x:v>
      </x:c>
      <x:c r="B4" s="27" t="str">
        <x:v>Candidate Journey B</x:v>
      </x:c>
      <x:c r="C4" s="27" t="str">
        <x:v>Similarity</x:v>
      </x:c>
      <x:c r="D4" s="27" t="str">
        <x:v>Material difference</x:v>
      </x:c>
      <x:c r="E4" s="27" t="str">
        <x:v>Consolidated or separate</x:v>
      </x:c>
      <x:c r="F4" s="27" t="str">
        <x:v>Decision rationale</x:v>
      </x:c>
    </x:row>
    <x:row r="5" ht="30" customHeight="1">
      <x:c r="A5" s="28" t="str">
        <x:v>Single planning vs planning home</x:v>
      </x:c>
      <x:c r="B5" s="28" t="str">
        <x:v>Bulk planning</x:v>
      </x:c>
      <x:c r="C5" s="28" t="str">
        <x:v>Shared entry and records</x:v>
      </x:c>
      <x:c r="D5" s="28" t="str">
        <x:v>Business object count, criteria, atomicity and partial failure</x:v>
      </x:c>
      <x:c r="E5" s="28" t="str">
        <x:v>Separate</x:v>
      </x:c>
      <x:c r="F5" s="28" t="str">
        <x:v>Different mutations and outcomes</x:v>
      </x:c>
    </x:row>
    <x:row r="6" ht="30" customHeight="1">
      <x:c r="A6" s="28" t="str">
        <x:v>Physical inspection</x:v>
      </x:c>
      <x:c r="B6" s="28" t="str">
        <x:v>Virtual inspection</x:v>
      </x:c>
      <x:c r="C6" s="28" t="str">
        <x:v>Same inspection outcome</x:v>
      </x:c>
      <x:c r="D6" s="28" t="str">
        <x:v>OTP/video/provider and arrival differences</x:v>
      </x:c>
      <x:c r="E6" s="28" t="str">
        <x:v>Separate</x:v>
      </x:c>
      <x:c r="F6" s="28" t="str">
        <x:v>Different integrations and eligibility</x:v>
      </x:c>
    </x:row>
    <x:row r="7" ht="30" customHeight="1">
      <x:c r="A7" s="28" t="str">
        <x:v>Review approve</x:v>
      </x:c>
      <x:c r="B7" s="28" t="str">
        <x:v>Review reject/return</x:v>
      </x:c>
      <x:c r="C7" s="28" t="str">
        <x:v>Same workspace/version</x:v>
      </x:c>
      <x:c r="D7" s="28" t="str">
        <x:v>Lifecycle outcome and rework branch</x:v>
      </x:c>
      <x:c r="E7" s="28" t="str">
        <x:v>Consolidated as variants</x:v>
      </x:c>
      <x:c r="F7" s="28" t="str">
        <x:v>Retain decision branches under one reviewer journey</x:v>
      </x:c>
    </x:row>
    <x:row r="8" ht="30" customHeight="1">
      <x:c r="A8" s="28" t="str">
        <x:v>Visits vs planning/visits</x:v>
      </x:c>
      <x:c r="B8" s="28" t="str">
        <x:v>Visit management alias</x:v>
      </x:c>
      <x:c r="C8" s="28" t="str">
        <x:v>Same underlying visits</x:v>
      </x:c>
      <x:c r="D8" s="28" t="str">
        <x:v>Route ownership/preview alias only</x:v>
      </x:c>
      <x:c r="E8" s="28" t="str">
        <x:v>Consolidated</x:v>
      </x:c>
      <x:c r="F8" s="28" t="str">
        <x:v>No materially unique outcome proven</x:v>
      </x:c>
    </x:row>
    <x:row r="9" ht="30" customHeight="1">
      <x:c r="A9" s="28" t="str">
        <x:v>Operations map</x:v>
      </x:c>
      <x:c r="B9" s="28" t="str">
        <x:v>Operations live</x:v>
      </x:c>
      <x:c r="C9" s="28" t="str">
        <x:v>Shared monitoring persona</x:v>
      </x:c>
      <x:c r="D9" s="28" t="str">
        <x:v>Provider/live-location behavior</x:v>
      </x:c>
      <x:c r="E9" s="28" t="str">
        <x:v>Consolidated as variants</x:v>
      </x:c>
      <x:c r="F9" s="28" t="str">
        <x:v>Same read-only outcome with provider branch</x:v>
      </x:c>
    </x:row>
    <x:row r="10" ht="30" customHeight="1">
      <x:c r="A10" s="28" t="str">
        <x:v>Corrective/reinspection/appeal cases</x:v>
      </x:c>
      <x:c r="B10" s="28" t="str">
        <x:v>Case opening</x:v>
      </x:c>
      <x:c r="C10" s="28" t="str">
        <x:v>Same action surface</x:v>
      </x:c>
      <x:c r="D10" s="28" t="str">
        <x:v>Case type and downstream outcome</x:v>
      </x:c>
      <x:c r="E10" s="28" t="str">
        <x:v>Consolidated as variants</x:v>
      </x:c>
      <x:c r="F10" s="28" t="str">
        <x:v>Current implementation exposes case_type selection</x:v>
      </x:c>
    </x:row>
  </x:sheetData>
  <x:mergeCells>
    <x:mergeCell ref="A1:F1"/>
  </x:mergeCells>
  <x:pageMargins left="0.7" right="0.7" top="0.75" bottom="0.75" header="0.3" footer="0.3"/>
  <x:tableParts count="1">
    <x:tablePart xmlns:r="http://schemas.openxmlformats.org/officeDocument/2006/relationships" r:id="Raab345ea953d4216"/>
  </x:tableParts>
</x:worksheet>
</file>

<file path=xl/worksheets/sheet19.xml><?xml version="1.0" encoding="utf-8"?>
<x:worksheet xmlns:x="http://schemas.openxmlformats.org/spreadsheetml/2006/main">
  <x:sheetViews>
    <x:sheetView showGridLines="0" workbookViewId="0"/>
  </x:sheetViews>
  <x:sheetFormatPr defaultRowHeight="15"/>
  <x:cols>
    <x:col min="1" max="1" width="14" hidden="0" customWidth="1"/>
    <x:col min="2" max="2" width="16" hidden="0" customWidth="1"/>
    <x:col min="3" max="3" width="24" hidden="0" customWidth="1"/>
    <x:col min="4" max="4" width="18" hidden="0" customWidth="1"/>
    <x:col min="5" max="5" width="23" hidden="0" customWidth="1"/>
    <x:col min="6" max="6" width="13" hidden="0" customWidth="1"/>
    <x:col min="7" max="7" width="17" hidden="0" customWidth="1"/>
    <x:col min="8" max="8" width="16" hidden="0" customWidth="1"/>
    <x:col min="9" max="9" width="18" hidden="0" customWidth="1"/>
    <x:col min="10" max="10" width="13" hidden="0" customWidth="1"/>
    <x:col min="11" max="11" width="12" hidden="0" customWidth="1"/>
  </x:cols>
  <x:sheetData>
    <x:row r="1" ht="30" customHeight="1">
      <x:c r="A1" s="24" t="str">
        <x:v>18 EVIDENCE INDEX</x:v>
      </x:c>
      <x:c r="B1" s="25"/>
      <x:c r="C1" s="25"/>
      <x:c r="D1" s="25"/>
      <x:c r="E1" s="25"/>
      <x:c r="F1" s="25"/>
      <x:c r="G1" s="25"/>
      <x:c r="H1" s="25"/>
      <x:c r="I1" s="25"/>
      <x:c r="J1" s="25"/>
      <x:c r="K1" s="25"/>
    </x:row>
    <x:row r="2" ht="30" customHeight="1">
      <x:c r="A2" s="26" t="str">
        <x:v>Audit snapshot · 2026-07-30 (Asia/Riyadh) · commit ada62124</x:v>
      </x:c>
      <x:c r="B2" s="26" t="str"/>
      <x:c r="C2" s="26" t="str"/>
      <x:c r="D2" s="26" t="str"/>
      <x:c r="E2" s="26" t="str"/>
      <x:c r="F2" s="26" t="str"/>
      <x:c r="G2" s="26" t="str"/>
      <x:c r="H2" s="26" t="str"/>
      <x:c r="I2" s="26" t="str"/>
      <x:c r="J2" s="26" t="str"/>
      <x:c r="K2" s="26" t="str"/>
    </x:row>
    <x:row r="3" ht="30" customHeight="1">
      <x:c r="A3" s="25"/>
      <x:c r="B3" s="25"/>
      <x:c r="C3" s="25"/>
      <x:c r="D3" s="25"/>
      <x:c r="E3" s="25"/>
      <x:c r="F3" s="25"/>
      <x:c r="G3" s="25"/>
      <x:c r="H3" s="25"/>
      <x:c r="I3" s="25"/>
      <x:c r="J3" s="25"/>
      <x:c r="K3" s="25"/>
    </x:row>
    <x:row r="4" ht="30" customHeight="1">
      <x:c r="A4" s="27" t="str">
        <x:v>Evidence ID</x:v>
      </x:c>
      <x:c r="B4" s="27" t="str">
        <x:v>Evidence type</x:v>
      </x:c>
      <x:c r="C4" s="27" t="str">
        <x:v>File/page/sheet/route</x:v>
      </x:c>
      <x:c r="D4" s="27" t="str">
        <x:v>Repository path</x:v>
      </x:c>
      <x:c r="E4" s="27" t="str">
        <x:v>Line range or symbol</x:v>
      </x:c>
      <x:c r="F4" s="27" t="str">
        <x:v>Commit SHA</x:v>
      </x:c>
      <x:c r="G4" s="27" t="str">
        <x:v>Drive artifact</x:v>
      </x:c>
      <x:c r="H4" s="27" t="str">
        <x:v>Screenshot ID</x:v>
      </x:c>
      <x:c r="I4" s="27" t="str">
        <x:v>Claim supported</x:v>
      </x:c>
      <x:c r="J4" s="27" t="str">
        <x:v>Confidence</x:v>
      </x:c>
      <x:c r="K4" s="27" t="str">
        <x:v>Deep link</x:v>
      </x:c>
    </x:row>
    <x:row r="5" ht="30" customHeight="1">
      <x:c r="A5" s="28" t="str">
        <x:v>EVD-001</x:v>
      </x:c>
      <x:c r="B5" s="28" t="str">
        <x:v>Repository</x:v>
      </x:c>
      <x:c r="C5" s="28" t="str">
        <x:v>Current checkout</x:v>
      </x:c>
      <x:c r="D5" s="28" t="str">
        <x:v>product-contract/00_START_HERE.md</x:v>
      </x:c>
      <x:c r="E5" s="28" t="str">
        <x:v>N/A</x:v>
      </x:c>
      <x:c r="F5" s="28" t="str">
        <x:v>ada62124c5f8c8066cec397dc70fab31be9b0c7d</x:v>
      </x:c>
      <x:c r="G5" s="28" t="str"/>
      <x:c r="H5" s="28" t="str"/>
      <x:c r="I5" s="28" t="str">
        <x:v>Authority and current source</x:v>
      </x:c>
      <x:c r="J5" s="28" t="str">
        <x:v>High</x:v>
      </x:c>
      <x:c r="K5" s="28" t="str">
        <x:v>https://github.com/Vikram-Indla/Inspection/blob/ada62124c5f8c8066cec397dc70fab31be9b0c7d/product-contract/00_START_HERE.md</x:v>
      </x:c>
    </x:row>
    <x:row r="6" ht="30" customHeight="1">
      <x:c r="A6" s="28" t="str">
        <x:v>EVD-002</x:v>
      </x:c>
      <x:c r="B6" s="28" t="str">
        <x:v>Build</x:v>
      </x:c>
      <x:c r="C6" s="28" t="str">
        <x:v>Next production build</x:v>
      </x:c>
      <x:c r="D6" s="28" t="str">
        <x:v>apps/web</x:v>
      </x:c>
      <x:c r="E6" s="28" t="str">
        <x:v>All routes</x:v>
      </x:c>
      <x:c r="F6" s="28" t="str">
        <x:v>ada62124c5f8c8066cec397dc70fab31be9b0c7d</x:v>
      </x:c>
      <x:c r="G6" s="28" t="str"/>
      <x:c r="H6" s="28" t="str"/>
      <x:c r="I6" s="28" t="str">
        <x:v>58 routes compile successfully</x:v>
      </x:c>
      <x:c r="J6" s="28" t="str">
        <x:v>High</x:v>
      </x:c>
      <x:c r="K6" s="28" t="str">
        <x:v>https://github.com/Vikram-Indla/Inspection/blob/ada62124c5f8c8066cec397dc70fab31be9b0c7d/apps/web/package.json</x:v>
      </x:c>
    </x:row>
    <x:row r="7" ht="30" customHeight="1">
      <x:c r="A7" s="28" t="str">
        <x:v>EVD-003</x:v>
      </x:c>
      <x:c r="B7" s="28" t="str">
        <x:v>Runtime screenshot</x:v>
      </x:c>
      <x:c r="C7" s="28" t="str">
        <x:v>/login</x:v>
      </x:c>
      <x:c r="D7" s="28" t="str"/>
      <x:c r="E7" s="28" t="str"/>
      <x:c r="F7" s="28" t="str">
        <x:v>ada62124c5f8c8066cec397dc70fab31be9b0c7d</x:v>
      </x:c>
      <x:c r="G7" s="28" t="str"/>
      <x:c r="H7" s="28" t="str">
        <x:v>SCR-001</x:v>
      </x:c>
      <x:c r="I7" s="28" t="str">
        <x:v>Login renders and staff-number path is presented</x:v>
      </x:c>
      <x:c r="J7" s="28" t="str">
        <x:v>High</x:v>
      </x:c>
      <x:c r="K7" s="28" t="str"/>
    </x:row>
    <x:row r="8" ht="30" customHeight="1">
      <x:c r="A8" s="28" t="str">
        <x:v>EVD-004</x:v>
      </x:c>
      <x:c r="B8" s="28" t="str">
        <x:v>Runtime screenshot</x:v>
      </x:c>
      <x:c r="C8" s="28" t="str">
        <x:v>/login auth failure</x:v>
      </x:c>
      <x:c r="D8" s="28" t="str"/>
      <x:c r="E8" s="28" t="str"/>
      <x:c r="F8" s="28" t="str">
        <x:v>ada62124c5f8c8066cec397dc70fab31be9b0c7d</x:v>
      </x:c>
      <x:c r="G8" s="28" t="str"/>
      <x:c r="H8" s="28" t="str">
        <x:v>SCR-002</x:v>
      </x:c>
      <x:c r="I8" s="28" t="str">
        <x:v>Directory contract unavailable and inspector credential rejected</x:v>
      </x:c>
      <x:c r="J8" s="28" t="str">
        <x:v>High</x:v>
      </x:c>
      <x:c r="K8" s="28" t="str"/>
    </x:row>
    <x:row r="9" ht="30" customHeight="1">
      <x:c r="A9" s="28" t="str">
        <x:v>EVD-005</x:v>
      </x:c>
      <x:c r="B9" s="28" t="str">
        <x:v>Runtime screenshot</x:v>
      </x:c>
      <x:c r="C9" s="28" t="str">
        <x:v>/planning redirect</x:v>
      </x:c>
      <x:c r="D9" s="28" t="str"/>
      <x:c r="E9" s="28" t="str"/>
      <x:c r="F9" s="28" t="str">
        <x:v>ada62124c5f8c8066cec397dc70fab31be9b0c7d</x:v>
      </x:c>
      <x:c r="G9" s="28" t="str"/>
      <x:c r="H9" s="28" t="str">
        <x:v>SCR-003</x:v>
      </x:c>
      <x:c r="I9" s="28" t="str">
        <x:v>Protected route redirects to login without authorized session</x:v>
      </x:c>
      <x:c r="J9" s="28" t="str">
        <x:v>High</x:v>
      </x:c>
      <x:c r="K9" s="28" t="str"/>
    </x:row>
    <x:row r="10" ht="30" customHeight="1">
      <x:c r="A10" s="28" t="str">
        <x:v>EVD-006</x:v>
      </x:c>
      <x:c r="B10" s="28" t="str">
        <x:v>Database discovery</x:v>
      </x:c>
      <x:c r="C10" s="28" t="str">
        <x:v>Current data quality</x:v>
      </x:c>
      <x:c r="D10" s="28" t="str">
        <x:v>product-contract/seeding-discovery/CURRENT_DATA_QUALITY_REPORT.md</x:v>
      </x:c>
      <x:c r="E10" s="28" t="str">
        <x:v>DQ-001..020</x:v>
      </x:c>
      <x:c r="F10" s="28" t="str">
        <x:v>ada62124c5f8c8066cec397dc70fab31be9b0c7d</x:v>
      </x:c>
      <x:c r="G10" s="28" t="str"/>
      <x:c r="H10" s="28" t="str"/>
      <x:c r="I10" s="28" t="str">
        <x:v>Live staging row counts and defects</x:v>
      </x:c>
      <x:c r="J10" s="28" t="str">
        <x:v>High</x:v>
      </x:c>
      <x:c r="K10" s="28" t="str">
        <x:v>https://github.com/Vikram-Indla/Inspection/blob/ada62124c5f8c8066cec397dc70fab31be9b0c7d/product-contract/seeding-discovery/CURRENT_DATA_QUALITY_REPORT.md</x:v>
      </x:c>
    </x:row>
    <x:row r="11" ht="30" customHeight="1">
      <x:c r="A11" s="28" t="str">
        <x:v>EVD-007</x:v>
      </x:c>
      <x:c r="B11" s="28" t="str">
        <x:v>Schema discovery</x:v>
      </x:c>
      <x:c r="C11" s="28" t="str">
        <x:v>Schema domain map</x:v>
      </x:c>
      <x:c r="D11" s="28" t="str">
        <x:v>product-contract/seeding-discovery/SCHEMA_DOMAIN_MAP.md</x:v>
      </x:c>
      <x:c r="E11" s="28" t="str">
        <x:v>142 tables</x:v>
      </x:c>
      <x:c r="F11" s="28" t="str">
        <x:v>ada62124c5f8c8066cec397dc70fab31be9b0c7d</x:v>
      </x:c>
      <x:c r="G11" s="28" t="str"/>
      <x:c r="H11" s="28" t="str"/>
      <x:c r="I11" s="28" t="str">
        <x:v>Tables, domains, RLS and policies</x:v>
      </x:c>
      <x:c r="J11" s="28" t="str">
        <x:v>High</x:v>
      </x:c>
      <x:c r="K11" s="28" t="str">
        <x:v>https://github.com/Vikram-Indla/Inspection/blob/ada62124c5f8c8066cec397dc70fab31be9b0c7d/product-contract/seeding-discovery/SCHEMA_DOMAIN_MAP.md</x:v>
      </x:c>
    </x:row>
    <x:row r="12" ht="30" customHeight="1">
      <x:c r="A12" s="28" t="str">
        <x:v>EVD-008</x:v>
      </x:c>
      <x:c r="B12" s="28" t="str">
        <x:v>Drive document</x:v>
      </x:c>
      <x:c r="C12" s="28" t="str">
        <x:v>SAQEEL Planning Architecture Blueprint</x:v>
      </x:c>
      <x:c r="D12" s="28" t="str"/>
      <x:c r="E12" s="28" t="str"/>
      <x:c r="F12" s="28" t="str">
        <x:v>ada62124c5f8c8066cec397dc70fab31be9b0c7d</x:v>
      </x:c>
      <x:c r="G12" s="28" t="str">
        <x:v>SAQEEL Planning Architecture Blueprint</x:v>
      </x:c>
      <x:c r="H12" s="28" t="str"/>
      <x:c r="I12" s="28" t="str">
        <x:v>Planning transaction, states and risk</x:v>
      </x:c>
      <x:c r="J12" s="28" t="str">
        <x:v>High</x:v>
      </x:c>
      <x:c r="K12" s="28" t="str">
        <x:v>https://docs.google.com/document/d/1fjagNLKdG_3Qaa8Ge3jsoplzm3YgZOO6BD3Eq9okBKQ/edit</x:v>
      </x:c>
    </x:row>
    <x:row r="13" ht="30" customHeight="1">
      <x:c r="A13" s="28" t="str">
        <x:v>EVD-009</x:v>
      </x:c>
      <x:c r="B13" s="28" t="str">
        <x:v>Drive document</x:v>
      </x:c>
      <x:c r="C13" s="28" t="str">
        <x:v>Execution.docx</x:v>
      </x:c>
      <x:c r="D13" s="28" t="str"/>
      <x:c r="E13" s="28" t="str"/>
      <x:c r="F13" s="28" t="str">
        <x:v>ada62124c5f8c8066cec397dc70fab31be9b0c7d</x:v>
      </x:c>
      <x:c r="G13" s="28" t="str">
        <x:v>Execution.docx</x:v>
      </x:c>
      <x:c r="H13" s="28" t="str"/>
      <x:c r="I13" s="28" t="str">
        <x:v>Execution lifecycle and open role decision</x:v>
      </x:c>
      <x:c r="J13" s="28" t="str">
        <x:v>High</x:v>
      </x:c>
      <x:c r="K13" s="28" t="str">
        <x:v>https://docs.google.com/document/d/1Q8H0MeYfSUL0CQDlemsGio5nDfayaC88/edit</x:v>
      </x:c>
    </x:row>
    <x:row r="14" ht="30" customHeight="1">
      <x:c r="A14" s="28" t="str">
        <x:v>EVD-010</x:v>
      </x:c>
      <x:c r="B14" s="28" t="str">
        <x:v>Repository source</x:v>
      </x:c>
      <x:c r="C14" s="28" t="str">
        <x:v>Senaei adapter</x:v>
      </x:c>
      <x:c r="D14" s="28" t="str">
        <x:v>apps/web/src/lib/integrations/senaei/adapters/inspection-submission.ts</x:v>
      </x:c>
      <x:c r="E14" s="28" t="str">
        <x:v>BLOCKED_TRIGGER_DECISION</x:v>
      </x:c>
      <x:c r="F14" s="28" t="str">
        <x:v>ada62124c5f8c8066cec397dc70fab31be9b0c7d</x:v>
      </x:c>
      <x:c r="G14" s="28" t="str"/>
      <x:c r="H14" s="28" t="str"/>
      <x:c r="I14" s="28" t="str">
        <x:v>External submission deliberately blocked</x:v>
      </x:c>
      <x:c r="J14" s="28" t="str">
        <x:v>High</x:v>
      </x:c>
      <x:c r="K14" s="28" t="str">
        <x:v>https://github.com/Vikram-Indla/Inspection/blob/ada62124c5f8c8066cec397dc70fab31be9b0c7d/apps/web/src/lib/integrations/senaei/adapters/inspection-submission.ts</x:v>
      </x:c>
    </x:row>
  </x:sheetData>
  <x:mergeCells>
    <x:mergeCell ref="A1:K1"/>
  </x:mergeCells>
  <x:pageMargins left="0.7" right="0.7" top="0.75" bottom="0.75" header="0.3" footer="0.3"/>
  <x:tableParts count="1">
    <x:tablePart xmlns:r="http://schemas.openxmlformats.org/officeDocument/2006/relationships" r:id="Rb6480711cf884453"/>
  </x:tableParts>
</x:worksheet>
</file>

<file path=xl/worksheets/sheet20.xml><?xml version="1.0" encoding="utf-8"?>
<x:worksheet xmlns:x="http://schemas.openxmlformats.org/spreadsheetml/2006/main">
  <x:sheetViews>
    <x:sheetView showGridLines="0" workbookViewId="0"/>
  </x:sheetViews>
  <x:sheetFormatPr defaultRowHeight="15"/>
  <x:cols>
    <x:col min="1" max="1" width="14" hidden="0" customWidth="1"/>
    <x:col min="2" max="2" width="18" hidden="0" customWidth="1"/>
    <x:col min="3" max="3" width="12" hidden="0" customWidth="1"/>
    <x:col min="4" max="4" width="17" hidden="0" customWidth="1"/>
    <x:col min="5" max="5" width="19" hidden="0" customWidth="1"/>
    <x:col min="6" max="6" width="19" hidden="0" customWidth="1"/>
    <x:col min="7" max="7" width="26" hidden="0" customWidth="1"/>
    <x:col min="8" max="8" width="23" hidden="0" customWidth="1"/>
    <x:col min="9" max="9" width="24" hidden="0" customWidth="1"/>
  </x:cols>
  <x:sheetData>
    <x:row r="1" ht="30" customHeight="1">
      <x:c r="A1" s="24" t="str">
        <x:v>19 OPEN QUESTIONS</x:v>
      </x:c>
      <x:c r="B1" s="25"/>
      <x:c r="C1" s="25"/>
      <x:c r="D1" s="25"/>
      <x:c r="E1" s="25"/>
      <x:c r="F1" s="25"/>
      <x:c r="G1" s="25"/>
      <x:c r="H1" s="25"/>
      <x:c r="I1" s="25"/>
    </x:row>
    <x:row r="2" ht="30" customHeight="1">
      <x:c r="A2" s="26" t="str">
        <x:v>Audit snapshot · 2026-07-30 (Asia/Riyadh) · commit ada62124</x:v>
      </x:c>
      <x:c r="B2" s="26" t="str"/>
      <x:c r="C2" s="26" t="str"/>
      <x:c r="D2" s="26" t="str"/>
      <x:c r="E2" s="26" t="str"/>
      <x:c r="F2" s="26" t="str"/>
      <x:c r="G2" s="26" t="str"/>
      <x:c r="H2" s="26" t="str"/>
      <x:c r="I2" s="26" t="str"/>
    </x:row>
    <x:row r="3" ht="30" customHeight="1">
      <x:c r="A3" s="25"/>
      <x:c r="B3" s="25"/>
      <x:c r="C3" s="25"/>
      <x:c r="D3" s="25"/>
      <x:c r="E3" s="25"/>
      <x:c r="F3" s="25"/>
      <x:c r="G3" s="25"/>
      <x:c r="H3" s="25"/>
      <x:c r="I3" s="25"/>
    </x:row>
    <x:row r="4" ht="30" customHeight="1">
      <x:c r="A4" s="27" t="str">
        <x:v>Question ID</x:v>
      </x:c>
      <x:c r="B4" s="27" t="str">
        <x:v>Persona/journey</x:v>
      </x:c>
      <x:c r="C4" s="27" t="str">
        <x:v>Question</x:v>
      </x:c>
      <x:c r="D4" s="27" t="str">
        <x:v>Why unresolved</x:v>
      </x:c>
      <x:c r="E4" s="27" t="str">
        <x:v>Evidence checked</x:v>
      </x:c>
      <x:c r="F4" s="27" t="str">
        <x:v>Missing evidence</x:v>
      </x:c>
      <x:c r="G4" s="27" t="str">
        <x:v>Required decision owner</x:v>
      </x:c>
      <x:c r="H4" s="27" t="str">
        <x:v>Impact if unanswered</x:v>
      </x:c>
      <x:c r="I4" s="27" t="str">
        <x:v>Blocking/non-blocking</x:v>
      </x:c>
    </x:row>
    <x:row r="5" ht="30" customHeight="1">
      <x:c r="A5" s="28" t="str">
        <x:v>Q-001</x:v>
      </x:c>
      <x:c r="B5" s="28" t="str">
        <x:v>All runtime personas</x:v>
      </x:c>
      <x:c r="C5" s="28" t="str">
        <x:v>What approved disposable environment and persona credentials may be used for non-mutating and controlled mutating journey verification?</x:v>
      </x:c>
      <x:c r="D5" s="28" t="str">
        <x:v>Authentication blocked and shared staging must not be modified</x:v>
      </x:c>
      <x:c r="E5" s="28" t="str">
        <x:v>Login runtime, env presence, data-quality plan</x:v>
      </x:c>
      <x:c r="F5" s="28" t="str">
        <x:v>Approved credential pack and fixture/reset contract</x:v>
      </x:c>
      <x:c r="G5" s="28" t="str">
        <x:v>Product Owner / Platform Owner</x:v>
      </x:c>
      <x:c r="H5" s="28" t="str">
        <x:v>All runtime gates remain blocked</x:v>
      </x:c>
      <x:c r="I5" s="28" t="str">
        <x:v>Blocking</x:v>
      </x:c>
    </x:row>
    <x:row r="6" ht="30" customHeight="1">
      <x:c r="A6" s="28" t="str">
        <x:v>Q-002</x:v>
      </x:c>
      <x:c r="B6" s="28" t="str">
        <x:v>Planning/Review</x:v>
      </x:c>
      <x:c r="C6" s="28" t="str">
        <x:v>Are Planning Supervisor, operational Supervisor and Approver one, two or three roles?</x:v>
      </x:c>
      <x:c r="D6" s="28" t="str">
        <x:v>Execution BRD explicitly leaves it open</x:v>
      </x:c>
      <x:c r="E6" s="28" t="str">
        <x:v>Drive Execution.docx; role checks</x:v>
      </x:c>
      <x:c r="F6" s="28" t="str">
        <x:v>Governed role decision</x:v>
      </x:c>
      <x:c r="G6" s="28" t="str">
        <x:v>Product Owner</x:v>
      </x:c>
      <x:c r="H6" s="28" t="str">
        <x:v>Segregation of duties and route permissions</x:v>
      </x:c>
      <x:c r="I6" s="28" t="str">
        <x:v>Blocking</x:v>
      </x:c>
    </x:row>
    <x:row r="7" ht="30" customHeight="1">
      <x:c r="A7" s="28" t="str">
        <x:v>Q-003</x:v>
      </x:c>
      <x:c r="B7" s="28" t="str">
        <x:v>Golden thread</x:v>
      </x:c>
      <x:c r="C7" s="28" t="str">
        <x:v>Is desktop/web inspector execution supported, or is execution intentionally field/PWA-only?</x:v>
      </x:c>
      <x:c r="D7" s="28" t="str">
        <x:v>Brief excludes PWA-only; core inspector routes are under /field</x:v>
      </x:c>
      <x:c r="E7" s="28" t="str">
        <x:v>Route inventory and design contract</x:v>
      </x:c>
      <x:c r="F7" s="28" t="str">
        <x:v>Supported-surface decision and shared-code boundary</x:v>
      </x:c>
      <x:c r="G7" s="28" t="str">
        <x:v>Product Owner / UX</x:v>
      </x:c>
      <x:c r="H7" s="28" t="str">
        <x:v>Inspector golden thread cannot be certified in requested scope</x:v>
      </x:c>
      <x:c r="I7" s="28" t="str">
        <x:v>Blocking</x:v>
      </x:c>
    </x:row>
    <x:row r="8" ht="30" customHeight="1">
      <x:c r="A8" s="28" t="str">
        <x:v>Q-004</x:v>
      </x:c>
      <x:c r="B8" s="28" t="str">
        <x:v>Inspection closure</x:v>
      </x:c>
      <x:c r="C8" s="28" t="str">
        <x:v>What exact condition constitutes legally complete closure, including corrective action, external submission and report?</x:v>
      </x:c>
      <x:c r="D8" s="28" t="str">
        <x:v>No single enforced terminal invariant proven</x:v>
      </x:c>
      <x:c r="E8" s="28" t="str">
        <x:v>Execution docs, cases, adapter</x:v>
      </x:c>
      <x:c r="F8" s="28" t="str">
        <x:v>Approved legal/operational closure contract</x:v>
      </x:c>
      <x:c r="G8" s="28" t="str">
        <x:v>Compliance/Legal/Product</x:v>
      </x:c>
      <x:c r="H8" s="28" t="str">
        <x:v>Cannot certify legal completeness</x:v>
      </x:c>
      <x:c r="I8" s="28" t="str">
        <x:v>Blocking</x:v>
      </x:c>
    </x:row>
    <x:row r="9" ht="30" customHeight="1">
      <x:c r="A9" s="28" t="str">
        <x:v>Q-005</x:v>
      </x:c>
      <x:c r="B9" s="28" t="str">
        <x:v>Senaei</x:v>
      </x:c>
      <x:c r="C9" s="28" t="str">
        <x:v>Which lifecycle event authorizes external inspection submission and what is the receipt/retry SLA?</x:v>
      </x:c>
      <x:c r="D9" s="28" t="str">
        <x:v>Adapter explicitly blocks trigger decision</x:v>
      </x:c>
      <x:c r="E9" s="28" t="str">
        <x:v>Adapter source</x:v>
      </x:c>
      <x:c r="F9" s="28" t="str">
        <x:v>Governed trigger/provider contract</x:v>
      </x:c>
      <x:c r="G9" s="28" t="str">
        <x:v>Integration Owner/Product</x:v>
      </x:c>
      <x:c r="H9" s="28" t="str">
        <x:v>External synchronization unavailable</x:v>
      </x:c>
      <x:c r="I9" s="28" t="str">
        <x:v>Blocking</x:v>
      </x:c>
    </x:row>
    <x:row r="10" ht="30" customHeight="1">
      <x:c r="A10" s="28" t="str">
        <x:v>Q-006</x:v>
      </x:c>
      <x:c r="B10" s="28" t="str">
        <x:v>Dashboard</x:v>
      </x:c>
      <x:c r="C10" s="28" t="str">
        <x:v>Who owns publication of dashboard_config heads/versions/parameters?</x:v>
      </x:c>
      <x:c r="D10" s="28" t="str">
        <x:v>Tables are empty</x:v>
      </x:c>
      <x:c r="E10" s="28" t="str">
        <x:v>DQ-014</x:v>
      </x:c>
      <x:c r="F10" s="28" t="str">
        <x:v>Configuration owner and approved definitions</x:v>
      </x:c>
      <x:c r="G10" s="28" t="str">
        <x:v>Product/Data Owner</x:v>
      </x:c>
      <x:c r="H10" s="28" t="str">
        <x:v>Leadership journey broken</x:v>
      </x:c>
      <x:c r="I10" s="28" t="str">
        <x:v>Non-blocking to inspection submission</x:v>
      </x:c>
    </x:row>
  </x:sheetData>
  <x:mergeCells>
    <x:mergeCell ref="A1:I1"/>
  </x:mergeCells>
  <x:pageMargins left="0.7" right="0.7" top="0.75" bottom="0.75" header="0.3" footer="0.3"/>
  <x:tableParts count="1">
    <x:tablePart xmlns:r="http://schemas.openxmlformats.org/officeDocument/2006/relationships" r:id="R3007cd2ae8854cb3"/>
  </x:tableParts>
</x:worksheet>
</file>

<file path=xl/worksheets/sheet21.xml><?xml version="1.0" encoding="utf-8"?>
<x:worksheet xmlns:x="http://schemas.openxmlformats.org/spreadsheetml/2006/main">
  <x:sheetViews>
    <x:sheetView showGridLines="0" workbookViewId="0"/>
  </x:sheetViews>
  <x:sheetFormatPr defaultRowHeight="15"/>
  <x:cols>
    <x:col min="1" max="1" width="32" hidden="0" customWidth="1"/>
    <x:col min="2" max="2" width="30" hidden="0" customWidth="1"/>
    <x:col min="3" max="3" width="105" hidden="0" customWidth="1"/>
  </x:cols>
  <x:sheetData>
    <x:row r="1" ht="30" customHeight="1">
      <x:c r="A1" s="24" t="str">
        <x:v>20 COMPLETION CERTIFICATE</x:v>
      </x:c>
      <x:c r="B1" s="25"/>
      <x:c r="C1" s="25"/>
    </x:row>
    <x:row r="2" ht="30" customHeight="1">
      <x:c r="A2" s="26" t="str">
        <x:v>Audit snapshot · 2026-07-30 (Asia/Riyadh) · commit ada62124</x:v>
      </x:c>
      <x:c r="B2" s="26" t="str"/>
      <x:c r="C2" s="26" t="str"/>
    </x:row>
    <x:row r="3" ht="30" customHeight="1">
      <x:c r="A3" s="25"/>
      <x:c r="B3" s="25"/>
      <x:c r="C3" s="25"/>
    </x:row>
    <x:row r="4" ht="30" customHeight="1">
      <x:c r="A4" s="27" t="str">
        <x:v>Category</x:v>
      </x:c>
      <x:c r="B4" s="27" t="str">
        <x:v>Result</x:v>
      </x:c>
      <x:c r="C4" s="27" t="str">
        <x:v>Evidence / gap</x:v>
      </x:c>
    </x:row>
    <x:row r="5" ht="30" customHeight="1">
      <x:c r="A5" s="28" t="str">
        <x:v>Personas reconciled</x:v>
      </x:c>
      <x:c r="B5" s="28" t="str">
        <x:v>PARTIAL</x:v>
      </x:c>
      <x:c r="C5" s="28" t="str">
        <x:v>12 evidence-derived personas/actors registered; full effective capability runtime proof absent</x:v>
      </x:c>
    </x:row>
    <x:row r="6" ht="30" customHeight="1">
      <x:c r="A6" s="28" t="str">
        <x:v>Routes reconciled</x:v>
      </x:c>
      <x:c r="B6" s="28" t="str">
        <x:v>PARTIAL</x:v>
      </x:c>
      <x:c r="C6" s="28" t="str">
        <x:v>58-route build inventory exists; representative material routes mapped; every route not individually classified</x:v>
      </x:c>
    </x:row>
    <x:row r="7" ht="30" customHeight="1">
      <x:c r="A7" s="28" t="str">
        <x:v>Screens reconciled</x:v>
      </x:c>
      <x:c r="B7" s="28" t="str">
        <x:v>PARTIAL</x:v>
      </x:c>
      <x:c r="C7" s="28" t="str">
        <x:v>Core desktop screens mapped; all modal/drawer/state variants not executed</x:v>
      </x:c>
    </x:row>
    <x:row r="8" ht="30" customHeight="1">
      <x:c r="A8" s="28" t="str">
        <x:v>Tables reconciled</x:v>
      </x:c>
      <x:c r="B8" s="28" t="str">
        <x:v>PARTIAL</x:v>
      </x:c>
      <x:c r="C8" s="28" t="str">
        <x:v>142-table schema map reviewed; core golden-thread tables mapped; every table not journey-classified</x:v>
      </x:c>
    </x:row>
    <x:row r="9" ht="30" customHeight="1">
      <x:c r="A9" s="28" t="str">
        <x:v>Mutations reconciled</x:v>
      </x:c>
      <x:c r="B9" s="28" t="str">
        <x:v>PARTIAL</x:v>
      </x:c>
      <x:c r="C9" s="28" t="str">
        <x:v>Golden-thread writes reconstructed; exact action-to-symbol/column trace incomplete</x:v>
      </x:c>
    </x:row>
    <x:row r="10" ht="30" customHeight="1">
      <x:c r="A10" s="28" t="str">
        <x:v>Permissions reconciled</x:v>
      </x:c>
      <x:c r="B10" s="28" t="str">
        <x:v>PARTIAL</x:v>
      </x:c>
      <x:c r="C10" s="28" t="str">
        <x:v>Role/capability/RLS evidence reviewed; real persona JWT tests blocked</x:v>
      </x:c>
    </x:row>
    <x:row r="11" ht="30" customHeight="1">
      <x:c r="A11" s="28" t="str">
        <x:v>Status transitions reconciled</x:v>
      </x:c>
      <x:c r="B11" s="28" t="str">
        <x:v>PARTIAL</x:v>
      </x:c>
      <x:c r="C11" s="28" t="str">
        <x:v>Major plan/visit/inspection/case states mapped; reachability and invalid transitions unverified</x:v>
      </x:c>
    </x:row>
    <x:row r="12" ht="30" customHeight="1">
      <x:c r="A12" s="28" t="str">
        <x:v>Notifications reconciled</x:v>
      </x:c>
      <x:c r="B12" s="28" t="str">
        <x:v>PARTIAL</x:v>
      </x:c>
      <x:c r="C12" s="28" t="str">
        <x:v>Queue intent mapped; preferences missing for 7/8 profiles and delivery not proven</x:v>
      </x:c>
    </x:row>
    <x:row r="13" ht="30" customHeight="1">
      <x:c r="A13" s="28" t="str">
        <x:v>Requirements reconciled</x:v>
      </x:c>
      <x:c r="B13" s="28" t="str">
        <x:v>PARTIAL</x:v>
      </x:c>
      <x:c r="C13" s="28" t="str">
        <x:v>478-row authority acknowledged; row-by-row journey mapping not completed</x:v>
      </x:c>
    </x:row>
    <x:row r="14" ht="30" customHeight="1">
      <x:c r="A14" s="28" t="str">
        <x:v>Tests reconciled</x:v>
      </x:c>
      <x:c r="B14" s="28" t="str">
        <x:v>PARTIAL</x:v>
      </x:c>
      <x:c r="C14" s="28" t="str">
        <x:v>Production build passes; mutating Playwright suite not run against shared staging</x:v>
      </x:c>
    </x:row>
    <x:row r="15" ht="30" customHeight="1">
      <x:c r="A15" s="28" t="str">
        <x:v>Runtime paths attempted</x:v>
      </x:c>
      <x:c r="B15" s="28" t="str">
        <x:v>3</x:v>
      </x:c>
      <x:c r="C15" s="28" t="str">
        <x:v>Login initial, authentication failure, protected /planning redirect</x:v>
      </x:c>
    </x:row>
    <x:row r="16" ht="30" customHeight="1">
      <x:c r="A16" s="28" t="str">
        <x:v>Paths blocked</x:v>
      </x:c>
      <x:c r="B16" s="28" t="str">
        <x:v>All authenticated persona journeys</x:v>
      </x:c>
      <x:c r="C16" s="28" t="str">
        <x:v>BP-001</x:v>
      </x:c>
    </x:row>
    <x:row r="17" ht="30" customHeight="1">
      <x:c r="A17" s="28" t="str">
        <x:v>Evidence gaps</x:v>
      </x:c>
      <x:c r="B17" s="28" t="str">
        <x:v>Material</x:v>
      </x:c>
      <x:c r="C17" s="28" t="str">
        <x:v>Disposable environment, credentials, full requirement/table/action mapping, external provider receipts</x:v>
      </x:c>
    </x:row>
    <x:row r="18" ht="30" customHeight="1">
      <x:c r="A18" s="28" t="str">
        <x:v>Duplicate journeys removed</x:v>
      </x:c>
      <x:c r="B18" s="28" t="str">
        <x:v>YES — partial scope</x:v>
      </x:c>
      <x:c r="C18" s="28" t="str">
        <x:v>17_DEDUPLICATION_LOG records consolidation decisions</x:v>
      </x:c>
    </x:row>
    <x:row r="19" ht="30" customHeight="1">
      <x:c r="A19" s="28" t="str">
        <x:v>Orphaned items identified</x:v>
      </x:c>
      <x:c r="B19" s="28" t="str">
        <x:v>YES — partial</x:v>
      </x:c>
      <x:c r="C19" s="28" t="str">
        <x:v>Approved inspection without submission/review; ambiguous arrival evidence links; sparse/empty sources</x:v>
      </x:c>
    </x:row>
    <x:row r="20" ht="30" customHeight="1">
      <x:c r="A20" s="28" t="str">
        <x:v>Overall confidence</x:v>
      </x:c>
      <x:c r="B20" s="28" t="str">
        <x:v>HIGH for listed confirmed blockers; MEDIUM for static journeys; LOW for runtime readiness</x:v>
      </x:c>
      <x:c r="C20" s="28" t="str">
        <x:v>Evidence strength is explicit per row</x:v>
      </x:c>
    </x:row>
    <x:row r="21" ht="30" customHeight="1">
      <x:c r="A21" s="28" t="str">
        <x:v>Inspector end-to-end verdict</x:v>
      </x:c>
      <x:c r="B21" s="28" t="str">
        <x:v>NO — cannot be proven today</x:v>
      </x:c>
      <x:c r="C21" s="28" t="str">
        <x:v>Core identity, prerequisite, transaction, workflow integrity and downstream closure gaps</x:v>
      </x:c>
    </x:row>
    <x:row r="22" ht="30" customHeight="1">
      <x:c r="A22" s="28" t="str">
        <x:v>Completion status</x:v>
      </x:c>
      <x:c r="B22" s="28" t="str">
        <x:v>PARTIAL</x:v>
      </x:c>
      <x:c r="C22" s="28" t="str">
        <x:v>Material final validation gates 2,3,6,7,9,10,15 remain incomplete or blocked</x:v>
      </x:c>
    </x:row>
  </x:sheetData>
  <x:mergeCells>
    <x:mergeCell ref="A1:C1"/>
  </x:mergeCells>
  <x:pageMargins left="0.7" right="0.7" top="0.75" bottom="0.75" header="0.3" footer="0.3"/>
  <x:tableParts count="1">
    <x:tablePart xmlns:r="http://schemas.openxmlformats.org/officeDocument/2006/relationships" r:id="R689e393ac29c4b38"/>
  </x:tableParts>
</x:worksheet>
</file>

<file path=xl/worksheets/sheet22.xml><?xml version="1.0" encoding="utf-8"?>
<x:worksheet xmlns:x="http://schemas.openxmlformats.org/spreadsheetml/2006/main">
  <x:sheetViews>
    <x:sheetView showGridLines="0" workbookViewId="0"/>
  </x:sheetViews>
  <x:sheetFormatPr defaultRowHeight="15"/>
  <x:cols>
    <x:col min="1" max="1" width="15" hidden="0" customWidth="1"/>
    <x:col min="2" max="2" width="20" hidden="0" customWidth="1"/>
    <x:col min="3" max="3" width="34" hidden="0" customWidth="1"/>
    <x:col min="4" max="4" width="58" hidden="0" customWidth="1"/>
    <x:col min="5" max="5" width="35" hidden="0" customWidth="1"/>
    <x:col min="6" max="6" width="18" hidden="0" customWidth="1"/>
    <x:col min="7" max="7" width="24" hidden="0" customWidth="1"/>
    <x:col min="8" max="8" width="32" hidden="0" customWidth="1"/>
  </x:cols>
  <x:sheetData>
    <x:row r="1">
      <x:c r="A1" s="129" t="str">
        <x:v>RULES DECISION CENTER</x:v>
      </x:c>
      <x:c r="B1" s="129"/>
      <x:c r="C1" s="129"/>
      <x:c r="D1" s="129"/>
      <x:c r="E1" s="129"/>
      <x:c r="F1" s="129"/>
      <x:c r="G1" s="129"/>
      <x:c r="H1" s="129"/>
    </x:row>
    <x:row r="2">
      <x:c r="A2" s="42" t="str">
        <x:v>Only decisions requiring Product Owner / policy authority. Recommendations do not invent governed values.</x:v>
      </x:c>
      <x:c r="B2" s="42"/>
      <x:c r="C2" s="42"/>
      <x:c r="D2" s="42"/>
      <x:c r="E2" s="42"/>
      <x:c r="F2" s="42"/>
      <x:c r="G2" s="42"/>
      <x:c r="H2" s="42"/>
    </x:row>
    <x:row r="3">
      <x:c r="A3" s="130"/>
      <x:c r="B3" s="130"/>
      <x:c r="C3" s="130"/>
      <x:c r="D3" s="130"/>
      <x:c r="E3" s="130"/>
      <x:c r="F3" s="130"/>
      <x:c r="G3" s="130"/>
      <x:c r="H3" s="130"/>
    </x:row>
    <x:row r="4">
      <x:c r="A4" s="147" t="str">
        <x:v>Decision</x:v>
      </x:c>
      <x:c r="B4" s="147" t="str">
        <x:v>Rule area</x:v>
      </x:c>
      <x:c r="C4" s="147" t="str">
        <x:v>Question for Vikram</x:v>
      </x:c>
      <x:c r="D4" s="147" t="str">
        <x:v>Recommended answer</x:v>
      </x:c>
      <x:c r="E4" s="147" t="str">
        <x:v>Why</x:v>
      </x:c>
      <x:c r="F4" s="147" t="str">
        <x:v>Impact</x:v>
      </x:c>
      <x:c r="G4" s="147" t="str">
        <x:v>Decision owner</x:v>
      </x:c>
      <x:c r="H4" s="147" t="str">
        <x:v>Action</x:v>
      </x:c>
    </x:row>
    <x:row r="5" ht="76" customHeight="1">
      <x:c r="A5" s="157" t="str">
        <x:v>DEC-AUD-001</x:v>
      </x:c>
      <x:c r="B5" s="157" t="str">
        <x:v>Role separation</x:v>
      </x:c>
      <x:c r="C5" s="157" t="str">
        <x:v>Are Planning Supervisor, operational Supervisor and formal Approver one, two or three roles?</x:v>
      </x:c>
      <x:c r="D5" s="157" t="str">
        <x:v>Recommend three explicit capabilities/roles, assignable to the same person only through governed policy; enforce segregation where maker-checker applies.</x:v>
      </x:c>
      <x:c r="E5" s="157" t="str">
        <x:v>Prevents label ambiguity and self-approval while allowing small-team staffing.</x:v>
      </x:c>
      <x:c r="F5" s="157" t="str">
        <x:v>BLOCKING</x:v>
      </x:c>
      <x:c r="G5" s="157" t="str">
        <x:v>Vikram / Product Owner</x:v>
      </x:c>
      <x:c r="H5" s="157" t="str">
        <x:v>Approve capability matrix and allowed combinations.</x:v>
      </x:c>
    </x:row>
    <x:row r="6" ht="76" customHeight="1">
      <x:c r="A6" s="157" t="str">
        <x:v>DEC-AUD-002</x:v>
      </x:c>
      <x:c r="B6" s="157" t="str">
        <x:v>Inspector surface</x:v>
      </x:c>
      <x:c r="C6" s="157" t="str">
        <x:v>Is desktop/web inspector execution supported, or field/PWA only?</x:v>
      </x:c>
      <x:c r="D6" s="157" t="str">
        <x:v>Recommend field/PWA as the execution surface and desktop/web as read-only supervision unless a desktop execution requirement is explicitly approved.</x:v>
      </x:c>
      <x:c r="E6" s="157" t="str">
        <x:v>Avoids certifying a channel that has no clear route contract.</x:v>
      </x:c>
      <x:c r="F6" s="157" t="str">
        <x:v>BLOCKING</x:v>
      </x:c>
      <x:c r="G6" s="157" t="str">
        <x:v>Vikram / Product Owner</x:v>
      </x:c>
      <x:c r="H6" s="157" t="str">
        <x:v>Confirm supported channel and redirect/landing behavior.</x:v>
      </x:c>
    </x:row>
    <x:row r="7" ht="76" customHeight="1">
      <x:c r="A7" s="157" t="str">
        <x:v>DEC-AUD-003</x:v>
      </x:c>
      <x:c r="B7" s="157" t="str">
        <x:v>Zero-package publish</x:v>
      </x:c>
      <x:c r="C7" s="157" t="str">
        <x:v>May Planning publish a visit with no package?</x:v>
      </x:c>
      <x:c r="D7" s="157" t="str">
        <x:v>Retain documented rule: yes, but mark Preparation required and block execution until an eligible immutable package is resolved.</x:v>
      </x:c>
      <x:c r="E7" s="157" t="str">
        <x:v>Preserves planner flexibility without an executable empty inspection.</x:v>
      </x:c>
      <x:c r="F7" s="157" t="str">
        <x:v>BLOCKING</x:v>
      </x:c>
      <x:c r="G7" s="157" t="str">
        <x:v>Vikram / Product Owner</x:v>
      </x:c>
      <x:c r="H7" s="157" t="str">
        <x:v>Confirm rule and visible status wording.</x:v>
      </x:c>
    </x:row>
    <x:row r="8" ht="76" customHeight="1">
      <x:c r="A8" s="157" t="str">
        <x:v>DEC-AUD-004</x:v>
      </x:c>
      <x:c r="B8" s="157" t="str">
        <x:v>Geofence unconfigured</x:v>
      </x:c>
      <x:c r="C8" s="157" t="str">
        <x:v>What happens when no governed geofence value exists?</x:v>
      </x:c>
      <x:c r="D8" s="157" t="str">
        <x:v>Show Not configured; block automatic geofence assertion; allow only an audited override if the actor has explicit capability. Never invent a distance.</x:v>
      </x:c>
      <x:c r="E8" s="157" t="str">
        <x:v>Complies with no-invented-policy rule and preserves auditability.</x:v>
      </x:c>
      <x:c r="F8" s="157" t="str">
        <x:v>BLOCKING</x:v>
      </x:c>
      <x:c r="G8" s="157" t="str">
        <x:v>Vikram / Operations Policy Owner</x:v>
      </x:c>
      <x:c r="H8" s="157" t="str">
        <x:v>Approve block-versus-override behavior and owner.</x:v>
      </x:c>
    </x:row>
    <x:row r="9" ht="76" customHeight="1">
      <x:c r="A9" s="157" t="str">
        <x:v>DEC-AUD-005</x:v>
      </x:c>
      <x:c r="B9" s="157" t="str">
        <x:v>Invalid approved record</x:v>
      </x:c>
      <x:c r="C9" s="157" t="str">
        <x:v>How should the approved inspection without version/review be handled?</x:v>
      </x:c>
      <x:c r="D9" s="157" t="str">
        <x:v>Quarantine it from reporting and downstream enforcement with an audit note; do not synthesize historical versions or reviews.</x:v>
      </x:c>
      <x:c r="E9" s="157" t="str">
        <x:v>Avoids fabricating legal evidence.</x:v>
      </x:c>
      <x:c r="F9" s="157" t="str">
        <x:v>BLOCKING</x:v>
      </x:c>
      <x:c r="G9" s="157" t="str">
        <x:v>Vikram / Compliance Owner</x:v>
      </x:c>
      <x:c r="H9" s="157" t="str">
        <x:v>Approve quarantine/repair protocol.</x:v>
      </x:c>
    </x:row>
    <x:row r="10" ht="76" customHeight="1">
      <x:c r="A10" s="157" t="str">
        <x:v>DEC-AUD-006</x:v>
      </x:c>
      <x:c r="B10" s="157" t="str">
        <x:v>Corrective owner</x:v>
      </x:c>
      <x:c r="C10" s="157" t="str">
        <x:v>Who can own corrective action?</x:v>
      </x:c>
      <x:c r="D10" s="157" t="str">
        <x:v>Support explicit internal owner and factory representative actor types with separate permissions and identity proof; do not overload Compliance Officer.</x:v>
      </x:c>
      <x:c r="E10" s="157" t="str">
        <x:v>Makes accountability and RLS testable.</x:v>
      </x:c>
      <x:c r="F10" s="157" t="str">
        <x:v>BLOCKING</x:v>
      </x:c>
      <x:c r="G10" s="157" t="str">
        <x:v>Vikram / Product Owner</x:v>
      </x:c>
      <x:c r="H10" s="157" t="str">
        <x:v>Approve actor types and assignment authority.</x:v>
      </x:c>
    </x:row>
    <x:row r="11" ht="76" customHeight="1">
      <x:c r="A11" s="157" t="str">
        <x:v>DEC-AUD-007</x:v>
      </x:c>
      <x:c r="B11" s="157" t="str">
        <x:v>Legal closure</x:v>
      </x:c>
      <x:c r="C11" s="157" t="str">
        <x:v>What makes a visit legally and operationally complete?</x:v>
      </x:c>
      <x:c r="D11" s="157" t="str">
        <x:v>Recommend a versioned closure invariant: approved immutable submission + required corrective obligations closed/waived by authorized decision + report generated + mandatory notifications queued + required external receipt or explicit provider-unavailable exception.</x:v>
      </x:c>
      <x:c r="E11" s="157" t="str">
        <x:v>Creates one auditable terminal rule without inventing deadlines or penalties.</x:v>
      </x:c>
      <x:c r="F11" s="157" t="str">
        <x:v>BLOCKING</x:v>
      </x:c>
      <x:c r="G11" s="157" t="str">
        <x:v>Vikram / Compliance + Legal</x:v>
      </x:c>
      <x:c r="H11" s="157" t="str">
        <x:v>Approve mandatory components and exception authority.</x:v>
      </x:c>
    </x:row>
    <x:row r="12" ht="76" customHeight="1">
      <x:c r="A12" s="157" t="str">
        <x:v>DEC-AUD-008</x:v>
      </x:c>
      <x:c r="B12" s="157" t="str">
        <x:v>Senaei trigger</x:v>
      </x:c>
      <x:c r="C12" s="157" t="str">
        <x:v>When may the external submission be sent?</x:v>
      </x:c>
      <x:c r="D12" s="157" t="str">
        <x:v>Recommend after final governed approval/closure, using the immutable approved version and idempotency key.</x:v>
      </x:c>
      <x:c r="E12" s="157" t="str">
        <x:v>Prevents externalizing unreviewed inspector drafts.</x:v>
      </x:c>
      <x:c r="F12" s="157" t="str">
        <x:v>BLOCKING</x:v>
      </x:c>
      <x:c r="G12" s="157" t="str">
        <x:v>Vikram / Integration Governance</x:v>
      </x:c>
      <x:c r="H12" s="157" t="str">
        <x:v>Approve trigger and exception handling.</x:v>
      </x:c>
    </x:row>
    <x:row r="13" ht="76" customHeight="1">
      <x:c r="A13" s="157" t="str">
        <x:v>DEC-AUD-009</x:v>
      </x:c>
      <x:c r="B13" s="157" t="str">
        <x:v>KPI ownership</x:v>
      </x:c>
      <x:c r="C13" s="157" t="str">
        <x:v>Who owns dashboard definitions and publication?</x:v>
      </x:c>
      <x:c r="D13" s="157" t="str">
        <x:v>Recommend Compliance owns business definition, Data Engineering implements, Leadership/authorized committee approves publication.</x:v>
      </x:c>
      <x:c r="E13" s="157" t="str">
        <x:v>Separates policy from implementation and consumption.</x:v>
      </x:c>
      <x:c r="F13" s="157" t="str">
        <x:v>NON-BLOCKING TO VISIT</x:v>
      </x:c>
      <x:c r="G13" s="157" t="str">
        <x:v>Vikram / Leadership</x:v>
      </x:c>
      <x:c r="H13" s="157" t="str">
        <x:v>Approve RACI and publication role.</x:v>
      </x:c>
    </x:row>
    <x:row r="14" ht="76" customHeight="1">
      <x:c r="A14" s="157" t="str">
        <x:v>DEC-AUD-010</x:v>
      </x:c>
      <x:c r="B14" s="157" t="str">
        <x:v>Notification mandate</x:v>
      </x:c>
      <x:c r="C14" s="157" t="str">
        <x:v>Which lifecycle notices can users suppress?</x:v>
      </x:c>
      <x:c r="D14" s="157" t="str">
        <x:v>Recommend assignment, return, approval/rejection and corrective obligation remain mandatory in-app; external channels remain configurable until policy states otherwise.</x:v>
      </x:c>
      <x:c r="E14" s="157" t="str">
        <x:v>Protects workflow visibility without inventing SMS/email mandates.</x:v>
      </x:c>
      <x:c r="F14" s="157" t="str">
        <x:v>BLOCKING</x:v>
      </x:c>
      <x:c r="G14" s="157" t="str">
        <x:v>Vikram / Operations + Legal</x:v>
      </x:c>
      <x:c r="H14" s="157" t="str">
        <x:v>Approve mandatory events and channels.</x:v>
      </x:c>
    </x:row>
  </x:sheetData>
  <x:mergeCells>
    <x:mergeCell ref="A1:H1"/>
    <x:mergeCell ref="A2:H2"/>
  </x:mergeCells>
  <x:conditionalFormatting sqref="F5:F14">
    <x:cfRule type="containsText" dxfId="0" priority="1" operator="containsText" text="BLOCKING"/>
  </x:conditionalFormatting>
  <x:pageMargins left="0.7" right="0.7" top="0.75" bottom="0.75" header="0.3" footer="0.3"/>
</x:worksheet>
</file>

<file path=xl/worksheets/sheet23.xml><?xml version="1.0" encoding="utf-8"?>
<x:worksheet xmlns:x="http://schemas.openxmlformats.org/spreadsheetml/2006/main">
  <x:sheetViews>
    <x:sheetView showGridLines="0" workbookViewId="0"/>
  </x:sheetViews>
  <x:sheetFormatPr defaultRowHeight="15"/>
  <x:cols>
    <x:col min="1" max="1" width="12" hidden="0" customWidth="1"/>
    <x:col min="2" max="2" width="13" hidden="0" customWidth="1"/>
    <x:col min="3" max="3" width="10" hidden="0" customWidth="1"/>
    <x:col min="4" max="4" width="24" hidden="0" customWidth="1"/>
    <x:col min="5" max="5" width="32" hidden="0" customWidth="1"/>
    <x:col min="6" max="6" width="100" hidden="0" customWidth="1"/>
    <x:col min="7" max="7" width="60" hidden="0" customWidth="1"/>
    <x:col min="8" max="8" width="48" hidden="0" customWidth="1"/>
    <x:col min="9" max="9" width="22" hidden="0" customWidth="1"/>
    <x:col min="10" max="10" width="20" hidden="0" customWidth="1"/>
  </x:cols>
  <x:sheetData>
    <x:row r="1">
      <x:c r="A1" s="129" t="str">
        <x:v>FIX PROMPT CENTER</x:v>
      </x:c>
      <x:c r="B1" s="129"/>
      <x:c r="C1" s="129"/>
      <x:c r="D1" s="129"/>
      <x:c r="E1" s="129"/>
      <x:c r="F1" s="129"/>
      <x:c r="G1" s="129"/>
      <x:c r="H1" s="129"/>
      <x:c r="I1" s="129"/>
      <x:c r="J1" s="129"/>
    </x:row>
    <x:row r="2">
      <x:c r="A2" s="42" t="str">
        <x:v>Copy-ready implementation prompts. Each prompt is bounded by the verified breakpoint and includes acceptance evidence.</x:v>
      </x:c>
      <x:c r="B2" s="42"/>
      <x:c r="C2" s="42"/>
      <x:c r="D2" s="42"/>
      <x:c r="E2" s="42"/>
      <x:c r="F2" s="42"/>
      <x:c r="G2" s="42"/>
      <x:c r="H2" s="42"/>
      <x:c r="I2" s="42"/>
      <x:c r="J2" s="42"/>
    </x:row>
    <x:row r="3">
      <x:c r="A3" s="130"/>
      <x:c r="B3" s="130"/>
      <x:c r="C3" s="130"/>
      <x:c r="D3" s="130"/>
      <x:c r="E3" s="130"/>
      <x:c r="F3" s="130"/>
      <x:c r="G3" s="130"/>
      <x:c r="H3" s="130"/>
      <x:c r="I3" s="130"/>
      <x:c r="J3" s="130"/>
    </x:row>
    <x:row r="4">
      <x:c r="A4" s="147" t="str">
        <x:v>Fix</x:v>
      </x:c>
      <x:c r="B4" s="147" t="str">
        <x:v>Finding</x:v>
      </x:c>
      <x:c r="C4" s="147" t="str">
        <x:v>Severity</x:v>
      </x:c>
      <x:c r="D4" s="147" t="str">
        <x:v>Workstream</x:v>
      </x:c>
      <x:c r="E4" s="147" t="str">
        <x:v>Outcome</x:v>
      </x:c>
      <x:c r="F4" s="147" t="str">
        <x:v>Copy-ready execution prompt</x:v>
      </x:c>
      <x:c r="G4" s="147" t="str">
        <x:v>Acceptance criteria</x:v>
      </x:c>
      <x:c r="H4" s="147" t="str">
        <x:v>Assistance needed from Vikram</x:v>
      </x:c>
      <x:c r="I4" s="147" t="str">
        <x:v>Owner type</x:v>
      </x:c>
      <x:c r="J4" s="147" t="str">
        <x:v>Status</x:v>
      </x:c>
    </x:row>
    <x:row r="5" ht="120" customHeight="1">
      <x:c r="A5" s="157" t="str">
        <x:v>FIX-001</x:v>
      </x:c>
      <x:c r="B5" s="157" t="str">
        <x:v>BP-001</x:v>
      </x:c>
      <x:c r="C5" s="157" t="str">
        <x:v>P0</x:v>
      </x:c>
      <x:c r="D5" s="157" t="str">
        <x:v>Identity + safe fixtures</x:v>
      </x:c>
      <x:c r="E5" s="157" t="str">
        <x:v>Create an approved non-production persona and fixture pack</x:v>
      </x:c>
      <x:c r="F5" s="157" t="str">
        <x:v>Implement a reset-safe fixture module that provisions distinct Admin, Planner, Inspector, Reviewer, Compliance, Operations and Leadership users with non-role display names, tenant/org scope, effective roles/capabilities, explicit notification preferences and scenario-owned records. Do not print credentials. Add positive login, wrong-role denial, cross-scope RLS denial and cleanup/provenance evidence. Do not modify shared staging records outside the fixture batch.</x:v>
      </x:c>
      <x:c r="G5" s="157" t="str">
        <x:v>Persona tours authenticate; unauthorized paths fail; fixture data is tagged, reset-safe and isolated.</x:v>
      </x:c>
      <x:c r="H5" s="157" t="str">
        <x:v>Vikram: approve disposable environment and credential custody model.</x:v>
      </x:c>
      <x:c r="I5" s="157" t="str">
        <x:v>Identity + QA</x:v>
      </x:c>
      <x:c r="J5" s="157" t="str">
        <x:v>READY AFTER DECISION</x:v>
      </x:c>
    </x:row>
    <x:row r="6" ht="120" customHeight="1">
      <x:c r="A6" s="157" t="str">
        <x:v>FIX-002</x:v>
      </x:c>
      <x:c r="B6" s="157" t="str">
        <x:v>BP-003</x:v>
      </x:c>
      <x:c r="C6" s="157" t="str">
        <x:v>P0</x:v>
      </x:c>
      <x:c r="D6" s="157" t="str">
        <x:v>Compliance maker-checker</x:v>
      </x:c>
      <x:c r="E6" s="157" t="str">
        <x:v>Prove configuration creation, return, revision and publication</x:v>
      </x:c>
      <x:c r="F6" s="157" t="str">
        <x:v>Using a safe fixture, execute the compliance configuration request journey from draft through maker-checker approval and immutable publication. Trace regulation, package, item, dependency, decision and publication rows. Add self-approval denial, missing-dependency rejection, returned-revision and duplicate publish tests. Preserve every governed value; do not invent policy.</x:v>
      </x:c>
      <x:c r="G6" s="157" t="str">
        <x:v>One immutable published package/checklist version is visible to Planning and Execution with complete audit evidence.</x:v>
      </x:c>
      <x:c r="H6" s="157" t="str">
        <x:v>Vikram: confirm maker and checker role separation.</x:v>
      </x:c>
      <x:c r="I6" s="157" t="str">
        <x:v>Compliance</x:v>
      </x:c>
      <x:c r="J6" s="157" t="str">
        <x:v>READY AFTER DECISION</x:v>
      </x:c>
    </x:row>
    <x:row r="7" ht="120" customHeight="1">
      <x:c r="A7" s="157" t="str">
        <x:v>FIX-003</x:v>
      </x:c>
      <x:c r="B7" s="157" t="str">
        <x:v>BP-004</x:v>
      </x:c>
      <x:c r="C7" s="157" t="str">
        <x:v>P0</x:v>
      </x:c>
      <x:c r="D7" s="157" t="str">
        <x:v>Execution configuration</x:v>
      </x:c>
      <x:c r="E7" s="157" t="str">
        <x:v>Publish only approved execution configuration</x:v>
      </x:c>
      <x:c r="F7" s="157" t="str">
        <x:v>Reconcile execution settings consumers with engine_settings/config_versions. Render Not configured for missing policy. Add versioned publish flow and server-side validation for modes, capacity and reasons. Do not add distances, thresholds, SLAs or reasons without approved decision records.</x:v>
      </x:c>
      <x:c r="G7" s="157" t="str">
        <x:v>Active configuration version is auditable and consumed consistently by UI, actions, RPCs and RLS.</x:v>
      </x:c>
      <x:c r="H7" s="157" t="str">
        <x:v>Vikram: approve policy owner and source for each governed setting.</x:v>
      </x:c>
      <x:c r="I7" s="157" t="str">
        <x:v>Product + Operations</x:v>
      </x:c>
      <x:c r="J7" s="157" t="str">
        <x:v>READY AFTER DECISION</x:v>
      </x:c>
    </x:row>
    <x:row r="8" ht="120" customHeight="1">
      <x:c r="A8" s="157" t="str">
        <x:v>FIX-004</x:v>
      </x:c>
      <x:c r="B8" s="157" t="str">
        <x:v>BP-005</x:v>
      </x:c>
      <x:c r="C8" s="157" t="str">
        <x:v>P0</x:v>
      </x:c>
      <x:c r="D8" s="157" t="str">
        <x:v>Canonical factory data</x:v>
      </x:c>
      <x:c r="E8" s="157" t="str">
        <x:v>Repair planning target identity and location</x:v>
      </x:c>
      <x:c r="F8" s="157" t="str">
        <x:v>Build a provenance-preserving reconciliation that joins factories to industrial licences, commercial registrations and plant addresses; backfill only source-supported fields; quarantine ambiguity; hard-gate visits lacking required identity/status/confirmed coordinates; show actionable missing-data states.</x:v>
      </x:c>
      <x:c r="G8" s="157" t="str">
        <x:v>Planner cannot publish an operational visit against an incomplete or ambiguous target; every displayed value carries source provenance.</x:v>
      </x:c>
      <x:c r="H8" s="157" t="str">
        <x:v>Vikram: approve authoritative-source precedence when providers disagree.</x:v>
      </x:c>
      <x:c r="I8" s="157" t="str">
        <x:v>Data + Integration</x:v>
      </x:c>
      <x:c r="J8" s="157" t="str">
        <x:v>READY AFTER DECISION</x:v>
      </x:c>
    </x:row>
    <x:row r="9" ht="120" customHeight="1">
      <x:c r="A9" s="157" t="str">
        <x:v>FIX-005</x:v>
      </x:c>
      <x:c r="B9" s="157" t="str">
        <x:v>BP-006</x:v>
      </x:c>
      <x:c r="C9" s="157" t="str">
        <x:v>P0</x:v>
      </x:c>
      <x:c r="D9" s="157" t="str">
        <x:v>Atomic visit publication</x:v>
      </x:c>
      <x:c r="E9" s="157" t="str">
        <x:v>Make single-visit publish atomic and idempotent</x:v>
      </x:c>
      <x:c r="F9" s="157" t="str">
        <x:v>Refactor publish_single_visit so one transaction revalidates capability, target, licence, window, package versions, inspector eligibility, overlap, capacity and idempotency, then writes plan, visit, assignment, all package snapshots, provenance, audit and notification intent. Add fault injection after each write and concurrent duplicate requests.</x:v>
      </x:c>
      <x:c r="G9" s="157" t="str">
        <x:v>Any forced failure leaves no executable partial record; retry returns the original receipt and creates no duplicate.</x:v>
      </x:c>
      <x:c r="H9" s="157" t="str">
        <x:v>Vikram: confirm whether zero package selection remains valid at publish.</x:v>
      </x:c>
      <x:c r="I9" s="157" t="str">
        <x:v>Backend + DB</x:v>
      </x:c>
      <x:c r="J9" s="157" t="str">
        <x:v>READY AFTER DECISION</x:v>
      </x:c>
    </x:row>
    <x:row r="10" ht="120" customHeight="1">
      <x:c r="A10" s="157" t="str">
        <x:v>FIX-006</x:v>
      </x:c>
      <x:c r="B10" s="157" t="str">
        <x:v>BP-010</x:v>
      </x:c>
      <x:c r="C10" s="157" t="str">
        <x:v>P1</x:v>
      </x:c>
      <x:c r="D10" s="157" t="str">
        <x:v>Arrival evidence integrity</x:v>
      </x:c>
      <x:c r="E10" s="157" t="str">
        <x:v>Make every arrival proof resolve to one canonical event</x:v>
      </x:c>
      <x:c r="F10" s="157" t="str">
        <x:v>Define the allowed linked_type/linked_id semantics for arrival evidence. Add FK/constraint or guarded transition, migrate or quarantine unresolved records, and test normal arrival, configured geofence failure, unconfigured geofence, override approval and duplicate arrival.</x:v>
      </x:c>
      <x:c r="G10" s="157" t="str">
        <x:v>All arrival evidence resolves to the visit and one canonical geo/journey event; invalid linkage is rejected.</x:v>
      </x:c>
      <x:c r="H10" s="157" t="str">
        <x:v>Vikram: approve unconfigured-geofence behavior; recommendation: explicit Not configured + controlled override, never an invented distance.</x:v>
      </x:c>
      <x:c r="I10" s="157" t="str">
        <x:v>GIS + DB</x:v>
      </x:c>
      <x:c r="J10" s="157" t="str">
        <x:v>READY AFTER DECISION</x:v>
      </x:c>
    </x:row>
    <x:row r="11" ht="120" customHeight="1">
      <x:c r="A11" s="157" t="str">
        <x:v>FIX-007</x:v>
      </x:c>
      <x:c r="B11" s="157" t="str">
        <x:v>BP-014</x:v>
      </x:c>
      <x:c r="C11" s="157" t="str">
        <x:v>P0</x:v>
      </x:c>
      <x:c r="D11" s="157" t="str">
        <x:v>Submission/review integrity</x:v>
      </x:c>
      <x:c r="E11" s="157" t="str">
        <x:v>Enforce immutable version and review before approval</x:v>
      </x:c>
      <x:c r="F11" s="157" t="str">
        <x:v>Create canonical transition functions and database guards so submit atomically creates an immutable submission_version and approval requires an authorized review against the latest version. Deny direct status mutation and self-approval. Quarantine or repair the existing approved record lacking both version and review.</x:v>
      </x:c>
      <x:c r="G11" s="157" t="str">
        <x:v>No approval without immutable version and review; submitted versions cannot be edited; all decisions are audited.</x:v>
      </x:c>
      <x:c r="H11" s="157" t="str">
        <x:v>Vikram: approve remediation treatment for the existing invalid record—recommended quarantine with audit, not silent backfill.</x:v>
      </x:c>
      <x:c r="I11" s="157" t="str">
        <x:v>Workflow + DB</x:v>
      </x:c>
      <x:c r="J11" s="157" t="str">
        <x:v>READY AFTER DECISION</x:v>
      </x:c>
    </x:row>
    <x:row r="12" ht="120" customHeight="1">
      <x:c r="A12" s="157" t="str">
        <x:v>FIX-008</x:v>
      </x:c>
      <x:c r="B12" s="157" t="str">
        <x:v>BP-016</x:v>
      </x:c>
      <x:c r="C12" s="157" t="str">
        <x:v>P1</x:v>
      </x:c>
      <x:c r="D12" s="157" t="str">
        <x:v>Corrective action owner</x:v>
      </x:c>
      <x:c r="E12" s="157" t="str">
        <x:v>Implement the missing owner-to-closure journey</x:v>
      </x:c>
      <x:c r="F12" s="157" t="str">
        <x:v>Define owner identity and assignment source, scoped portal/task list, obligation details, evidence upload, save/resume, submit, reviewer return/accept, deadline/late state only if governed, notifications and immutable closure receipt. Add owner-only and cross-factory denial tests.</x:v>
      </x:c>
      <x:c r="G12" s="157" t="str">
        <x:v>A named owner can close an obligation through evidence-backed review without off-platform handoffs.</x:v>
      </x:c>
      <x:c r="H12" s="157" t="str">
        <x:v>Vikram: choose internal user, factory representative, or both as supported owner types; recommendation: model both explicitly, never overload one role.</x:v>
      </x:c>
      <x:c r="I12" s="157" t="str">
        <x:v>Product + Engineering</x:v>
      </x:c>
      <x:c r="J12" s="157" t="str">
        <x:v>READY AFTER DECISION</x:v>
      </x:c>
    </x:row>
    <x:row r="13" ht="120" customHeight="1">
      <x:c r="A13" s="157" t="str">
        <x:v>FIX-009</x:v>
      </x:c>
      <x:c r="B13" s="157" t="str">
        <x:v>BP-019</x:v>
      </x:c>
      <x:c r="C13" s="157" t="str">
        <x:v>P1</x:v>
      </x:c>
      <x:c r="D13" s="157" t="str">
        <x:v>Dashboard governance</x:v>
      </x:c>
      <x:c r="E13" s="157" t="str">
        <x:v>Publish versioned KPI configuration</x:v>
      </x:c>
      <x:c r="F13" s="157" t="str">
        <x:v>Create the governed dashboard configuration workflow for heads, versions and parameters. Bind every KPI to source facts, population, exclusions, dates and owner. Missing rules must render Unavailable. Add reconciliation from displayed KPI to source records.</x:v>
      </x:c>
      <x:c r="G13" s="157" t="str">
        <x:v>Every KPI is versioned, source-backed and reproducible; no empty config produces a numeric claim.</x:v>
      </x:c>
      <x:c r="H13" s="157" t="str">
        <x:v>Vikram: name the KPI policy owner; recommendation: Compliance owns definitions, Data owns implementation, Leadership approves publication.</x:v>
      </x:c>
      <x:c r="I13" s="157" t="str">
        <x:v>Product + Data</x:v>
      </x:c>
      <x:c r="J13" s="157" t="str">
        <x:v>READY AFTER DECISION</x:v>
      </x:c>
    </x:row>
    <x:row r="14" ht="120" customHeight="1">
      <x:c r="A14" s="157" t="str">
        <x:v>FIX-010</x:v>
      </x:c>
      <x:c r="B14" s="157" t="str">
        <x:v>BP-021</x:v>
      </x:c>
      <x:c r="C14" s="157" t="str">
        <x:v>P1</x:v>
      </x:c>
      <x:c r="D14" s="157" t="str">
        <x:v>Notification reliability</x:v>
      </x:c>
      <x:c r="E14" s="157" t="str">
        <x:v>Complete preferences, outbox and receipts</x:v>
      </x:c>
      <x:c r="F14" s="157" t="str">
        <x:v>Provision explicit notification preferences for every fixture persona. For each material lifecycle event, create idempotent notification intent, resolve correct recipient, apply preference/suppression, deliver through deterministic test sink, record attempt/receipt/failure and retry safely.</x:v>
      </x:c>
      <x:c r="G14" s="157" t="str">
        <x:v>Assignment, return, approval and corrective-action notifications reach only intended actors with auditable receipts.</x:v>
      </x:c>
      <x:c r="H14" s="157" t="str">
        <x:v>Vikram: approve mandatory channels that cannot be suppressed; recommendation: keep regulatory workflow notices mandatory in-app and treat external channels as additive until policy is approved.</x:v>
      </x:c>
      <x:c r="I14" s="157" t="str">
        <x:v>Integration</x:v>
      </x:c>
      <x:c r="J14" s="157" t="str">
        <x:v>READY AFTER DECISION</x:v>
      </x:c>
    </x:row>
    <x:row r="15" ht="120" customHeight="1">
      <x:c r="A15" s="157" t="str">
        <x:v>FIX-011</x:v>
      </x:c>
      <x:c r="B15" s="157" t="str">
        <x:v>BP-022</x:v>
      </x:c>
      <x:c r="C15" s="157" t="str">
        <x:v>P1</x:v>
      </x:c>
      <x:c r="D15" s="157" t="str">
        <x:v>Senaei integration</x:v>
      </x:c>
      <x:c r="E15" s="157" t="str">
        <x:v>Resolve governed trigger and implement delivery lifecycle</x:v>
      </x:c>
      <x:c r="F15" s="157" t="str">
        <x:v>Approve the exact lifecycle event that authorizes Senaei submission. Implement idempotent multipart delivery, credential isolation, retry classification, provider receipt, reconciliation and operator-visible failure. Preserve BLOCKED_TRIGGER_DECISION until approval; do not infer provider SLA.</x:v>
      </x:c>
      <x:c r="G15" s="157" t="str">
        <x:v>One authorized event sends once, failures are recoverable, and the provider receipt is linked to the immutable submission.</x:v>
      </x:c>
      <x:c r="H15" s="157" t="str">
        <x:v>Vikram: choose trigger. Recommendation: after governed final approval/closure, not raw inspector submission.</x:v>
      </x:c>
      <x:c r="I15" s="157" t="str">
        <x:v>Product + Integration</x:v>
      </x:c>
      <x:c r="J15" s="157" t="str">
        <x:v>READY AFTER DECISION</x:v>
      </x:c>
    </x:row>
  </x:sheetData>
  <x:mergeCells>
    <x:mergeCell ref="A1:J1"/>
    <x:mergeCell ref="A2:J2"/>
  </x:mergeCells>
  <x:conditionalFormatting sqref="C5:C15">
    <x:cfRule type="containsText" dxfId="1" priority="1" operator="containsText" text="P0"/>
  </x:conditionalFormatting>
  <x:dataValidations count="1">
    <x:dataValidation type="list" sqref="J5:J15">
      <x:formula1>"READY AFTER DECISION,APPROVED,IN PROGRESS,VERIFIED,DEFERRED"</x:formula1>
    </x:dataValidation>
  </x:dataValidations>
  <x:pageMargins left="0.7" right="0.7" top="0.75" bottom="0.75" header="0.3" footer="0.3"/>
</x:worksheet>
</file>

<file path=xl/worksheets/sheet24.xml><?xml version="1.0" encoding="utf-8"?>
<x:worksheet xmlns:x="http://schemas.openxmlformats.org/spreadsheetml/2006/main">
  <x:sheetViews>
    <x:sheetView showGridLines="0" workbookViewId="0"/>
  </x:sheetViews>
  <x:sheetFormatPr defaultRowHeight="15"/>
  <x:cols>
    <x:col min="1" max="1" width="20" hidden="0" customWidth="1"/>
    <x:col min="2" max="2" width="35" hidden="0" customWidth="1"/>
    <x:col min="3" max="3" width="28" hidden="0" customWidth="1"/>
    <x:col min="4" max="4" width="32" hidden="0" customWidth="1"/>
    <x:col min="5" max="5" width="48" hidden="0" customWidth="1"/>
    <x:col min="6" max="6" width="12" hidden="0" customWidth="1"/>
    <x:col min="7" max="7" width="60" hidden="0" customWidth="1"/>
    <x:col min="8" max="8" width="12" hidden="0" customWidth="1"/>
    <x:col min="9" max="9" width="20" hidden="0" customWidth="1"/>
  </x:cols>
  <x:sheetData>
    <x:row r="1">
      <x:c r="A1" s="129" t="str">
        <x:v>DATA + WIRING CONTROL MAP</x:v>
      </x:c>
      <x:c r="B1" s="129"/>
      <x:c r="C1" s="129"/>
      <x:c r="D1" s="129"/>
      <x:c r="E1" s="129"/>
      <x:c r="F1" s="129"/>
      <x:c r="G1" s="129"/>
      <x:c r="H1" s="129"/>
      <x:c r="I1" s="129"/>
    </x:row>
    <x:row r="2">
      <x:c r="A2" s="42" t="str">
        <x:v>From UI action to service, database truth and current break. R=Read · C=Create · U=Update · D=Delete.</x:v>
      </x:c>
      <x:c r="B2" s="42"/>
      <x:c r="C2" s="42"/>
      <x:c r="D2" s="42"/>
      <x:c r="E2" s="42"/>
      <x:c r="F2" s="42"/>
      <x:c r="G2" s="42"/>
      <x:c r="H2" s="42"/>
      <x:c r="I2" s="42"/>
    </x:row>
    <x:row r="3">
      <x:c r="A3" s="130"/>
      <x:c r="B3" s="130"/>
      <x:c r="C3" s="130"/>
      <x:c r="D3" s="130"/>
      <x:c r="E3" s="130"/>
      <x:c r="F3" s="130"/>
      <x:c r="G3" s="130"/>
      <x:c r="H3" s="130"/>
      <x:c r="I3" s="130"/>
    </x:row>
    <x:row r="4">
      <x:c r="A4" s="147" t="str">
        <x:v>Domain</x:v>
      </x:c>
      <x:c r="B4" s="147" t="str">
        <x:v>Wiring path</x:v>
      </x:c>
      <x:c r="C4" s="147" t="str">
        <x:v>UI surface</x:v>
      </x:c>
      <x:c r="D4" s="147" t="str">
        <x:v>Service / RPC</x:v>
      </x:c>
      <x:c r="E4" s="147" t="str">
        <x:v>Database truth</x:v>
      </x:c>
      <x:c r="F4" s="147" t="str">
        <x:v>CRUD</x:v>
      </x:c>
      <x:c r="G4" s="147" t="str">
        <x:v>Current wiring issue</x:v>
      </x:c>
      <x:c r="H4" s="147" t="str">
        <x:v>Severity</x:v>
      </x:c>
      <x:c r="I4" s="147" t="str">
        <x:v>Finding</x:v>
      </x:c>
    </x:row>
    <x:row r="5" ht="64" customHeight="1">
      <x:c r="A5" s="157" t="str">
        <x:v>Identity</x:v>
      </x:c>
      <x:c r="B5" s="157" t="str">
        <x:v>Login → effective capability</x:v>
      </x:c>
      <x:c r="C5" s="157" t="str">
        <x:v>login form</x:v>
      </x:c>
      <x:c r="D5" s="157" t="str">
        <x:v>Supabase Auth</x:v>
      </x:c>
      <x:c r="E5" s="157" t="str">
        <x:v>profiles → user_roles → role_capabilities/user grants</x:v>
      </x:c>
      <x:c r="F5" s="157" t="str">
        <x:v>R</x:v>
      </x:c>
      <x:c r="G5" s="157" t="str">
        <x:v>Directory contract absent; credential path blocked</x:v>
      </x:c>
      <x:c r="H5" s="157" t="str">
        <x:v>P0</x:v>
      </x:c>
      <x:c r="I5" s="157" t="str">
        <x:v>BP-001</x:v>
      </x:c>
    </x:row>
    <x:row r="6" ht="64" customHeight="1">
      <x:c r="A6" s="157" t="str">
        <x:v>Compliance config</x:v>
      </x:c>
      <x:c r="B6" s="157" t="str">
        <x:v>Request → approved immutable versions</x:v>
      </x:c>
      <x:c r="C6" s="157" t="str">
        <x:v>admin request wizard</x:v>
      </x:c>
      <x:c r="D6" s="157" t="str">
        <x:v>Server actions / approval transition</x:v>
      </x:c>
      <x:c r="E6" s="157" t="str">
        <x:v>requests → components → versions → publications</x:v>
      </x:c>
      <x:c r="F6" s="157" t="str">
        <x:v>C/U</x:v>
      </x:c>
      <x:c r="G6" s="157" t="str">
        <x:v>Runtime maker-checker proof missing</x:v>
      </x:c>
      <x:c r="H6" s="157" t="str">
        <x:v>P0</x:v>
      </x:c>
      <x:c r="I6" s="157" t="str">
        <x:v>BP-003</x:v>
      </x:c>
    </x:row>
    <x:row r="7" ht="64" customHeight="1">
      <x:c r="A7" s="157" t="str">
        <x:v>Execution config</x:v>
      </x:c>
      <x:c r="B7" s="157" t="str">
        <x:v>Admin settings → validation consumers</x:v>
      </x:c>
      <x:c r="C7" s="157" t="str">
        <x:v>admin execution</x:v>
      </x:c>
      <x:c r="D7" s="157" t="str">
        <x:v>Versioned config action</x:v>
      </x:c>
      <x:c r="E7" s="157" t="str">
        <x:v>engine_settings/config_versions</x:v>
      </x:c>
      <x:c r="F7" s="157" t="str">
        <x:v>R/U</x:v>
      </x:c>
      <x:c r="G7" s="157" t="str">
        <x:v>Active governed values cannot be confirmed</x:v>
      </x:c>
      <x:c r="H7" s="157" t="str">
        <x:v>P0</x:v>
      </x:c>
      <x:c r="I7" s="157" t="str">
        <x:v>BP-004</x:v>
      </x:c>
    </x:row>
    <x:row r="8" ht="64" customHeight="1">
      <x:c r="A8" s="157" t="str">
        <x:v>Factory target</x:v>
      </x:c>
      <x:c r="B8" s="157" t="str">
        <x:v>Planner selection → canonical target</x:v>
      </x:c>
      <x:c r="C8" s="157" t="str">
        <x:v>planning single</x:v>
      </x:c>
      <x:c r="D8" s="157" t="str">
        <x:v>Target resolver</x:v>
      </x:c>
      <x:c r="E8" s="157" t="str">
        <x:v>factories + CR + licence + plant</x:v>
      </x:c>
      <x:c r="F8" s="157" t="str">
        <x:v>R</x:v>
      </x:c>
      <x:c r="G8" s="157" t="str">
        <x:v>Identity/status/location sparsity</x:v>
      </x:c>
      <x:c r="H8" s="157" t="str">
        <x:v>P0</x:v>
      </x:c>
      <x:c r="I8" s="157" t="str">
        <x:v>BP-005</x:v>
      </x:c>
    </x:row>
    <x:row r="9" ht="64" customHeight="1">
      <x:c r="A9" s="157" t="str">
        <x:v>Publish</x:v>
      </x:c>
      <x:c r="B9" s="157" t="str">
        <x:v>Planner confirm → executable visit</x:v>
      </x:c>
      <x:c r="C9" s="157" t="str">
        <x:v>planning single</x:v>
      </x:c>
      <x:c r="D9" s="157" t="str">
        <x:v>publish_single_visit</x:v>
      </x:c>
      <x:c r="E9" s="157" t="str">
        <x:v>plan + visit + assignment + snapshots + audit + notification</x:v>
      </x:c>
      <x:c r="F9" s="157" t="str">
        <x:v>C/U</x:v>
      </x:c>
      <x:c r="G9" s="157" t="str">
        <x:v>Transaction not proven atomic/idempotent</x:v>
      </x:c>
      <x:c r="H9" s="157" t="str">
        <x:v>P0</x:v>
      </x:c>
      <x:c r="I9" s="157" t="str">
        <x:v>BP-006</x:v>
      </x:c>
    </x:row>
    <x:row r="10" ht="64" customHeight="1">
      <x:c r="A10" s="157" t="str">
        <x:v>Preparation</x:v>
      </x:c>
      <x:c r="B10" s="157" t="str">
        <x:v>Assigned visit → ready</x:v>
      </x:c>
      <x:c r="C10" s="157" t="str">
        <x:v>field visit</x:v>
      </x:c>
      <x:c r="D10" s="157" t="str">
        <x:v>Preparation transition</x:v>
      </x:c>
      <x:c r="E10" s="157" t="str">
        <x:v>visit_preparations + visit_packages + visits</x:v>
      </x:c>
      <x:c r="F10" s="157" t="str">
        <x:v>C/U</x:v>
      </x:c>
      <x:c r="G10" s="157" t="str">
        <x:v>Runtime and missing-config branches unverified</x:v>
      </x:c>
      <x:c r="H10" s="157" t="str">
        <x:v>P0</x:v>
      </x:c>
      <x:c r="I10" s="157" t="str">
        <x:v>BP-009</x:v>
      </x:c>
    </x:row>
    <x:row r="11" ht="64" customHeight="1">
      <x:c r="A11" s="157" t="str">
        <x:v>Arrival</x:v>
      </x:c>
      <x:c r="B11" s="157" t="str">
        <x:v>Travel → arrival proof</x:v>
      </x:c>
      <x:c r="C11" s="157" t="str">
        <x:v>travel UI</x:v>
      </x:c>
      <x:c r="D11" s="157" t="str">
        <x:v>Arrival transition/upload</x:v>
      </x:c>
      <x:c r="E11" s="157" t="str">
        <x:v>journey_sessions + geo_events + evidence</x:v>
      </x:c>
      <x:c r="F11" s="157" t="str">
        <x:v>C/U</x:v>
      </x:c>
      <x:c r="G11" s="157" t="str">
        <x:v>12/32 arrival evidence links ambiguous</x:v>
      </x:c>
      <x:c r="H11" s="157" t="str">
        <x:v>P1</x:v>
      </x:c>
      <x:c r="I11" s="157" t="str">
        <x:v>BP-010</x:v>
      </x:c>
    </x:row>
    <x:row r="12" ht="64" customHeight="1">
      <x:c r="A12" s="157" t="str">
        <x:v>Checklist</x:v>
      </x:c>
      <x:c r="B12" s="157" t="str">
        <x:v>Inputs → persisted responses</x:v>
      </x:c>
      <x:c r="C12" s="157" t="str">
        <x:v>inspection UI</x:v>
      </x:c>
      <x:c r="D12" s="157" t="str">
        <x:v>Draft/validation services</x:v>
      </x:c>
      <x:c r="E12" s="157" t="str">
        <x:v>checklist_responses + evidence + findings + violations</x:v>
      </x:c>
      <x:c r="F12" s="157" t="str">
        <x:v>C/U</x:v>
      </x:c>
      <x:c r="G12" s="157" t="str">
        <x:v>Every field/attachment/conflict branch unverified</x:v>
      </x:c>
      <x:c r="H12" s="157" t="str">
        <x:v>P1</x:v>
      </x:c>
      <x:c r="I12" s="157" t="str">
        <x:v>BP-011; BP-012</x:v>
      </x:c>
    </x:row>
    <x:row r="13" ht="64" customHeight="1">
      <x:c r="A13" s="157" t="str">
        <x:v>Submission</x:v>
      </x:c>
      <x:c r="B13" s="157" t="str">
        <x:v>Submit → immutable version</x:v>
      </x:c>
      <x:c r="C13" s="157" t="str">
        <x:v>inspection UI</x:v>
      </x:c>
      <x:c r="D13" s="157" t="str">
        <x:v>Submission transition</x:v>
      </x:c>
      <x:c r="E13" s="157" t="str">
        <x:v>submission_versions + inspections + audit + notifications</x:v>
      </x:c>
      <x:c r="F13" s="157" t="str">
        <x:v>C/U</x:v>
      </x:c>
      <x:c r="G13" s="157" t="str">
        <x:v>Approved record exists without version</x:v>
      </x:c>
      <x:c r="H13" s="157" t="str">
        <x:v>P0</x:v>
      </x:c>
      <x:c r="I13" s="157" t="str">
        <x:v>BP-014</x:v>
      </x:c>
    </x:row>
    <x:row r="14" ht="64" customHeight="1">
      <x:c r="A14" s="157" t="str">
        <x:v>Review</x:v>
      </x:c>
      <x:c r="B14" s="157" t="str">
        <x:v>Decision → inspection state</x:v>
      </x:c>
      <x:c r="C14" s="157" t="str">
        <x:v>review workspace</x:v>
      </x:c>
      <x:c r="D14" s="157" t="str">
        <x:v>Review transition</x:v>
      </x:c>
      <x:c r="E14" s="157" t="str">
        <x:v>reviews + inspections + audit + notifications</x:v>
      </x:c>
      <x:c r="F14" s="157" t="str">
        <x:v>C/U</x:v>
      </x:c>
      <x:c r="G14" s="157" t="str">
        <x:v>Approved record exists without review</x:v>
      </x:c>
      <x:c r="H14" s="157" t="str">
        <x:v>P0</x:v>
      </x:c>
      <x:c r="I14" s="157" t="str">
        <x:v>BP-014</x:v>
      </x:c>
    </x:row>
    <x:row r="15" ht="64" customHeight="1">
      <x:c r="A15" s="157" t="str">
        <x:v>Corrective action</x:v>
      </x:c>
      <x:c r="B15" s="157" t="str">
        <x:v>Case → owner response → closure</x:v>
      </x:c>
      <x:c r="C15" s="157" t="str">
        <x:v>cases / missing owner UI</x:v>
      </x:c>
      <x:c r="D15" s="157" t="str">
        <x:v>Incomplete</x:v>
      </x:c>
      <x:c r="E15" s="157" t="str">
        <x:v>cases + correction evidence</x:v>
      </x:c>
      <x:c r="F15" s="157" t="str">
        <x:v>C/U</x:v>
      </x:c>
      <x:c r="G15" s="157" t="str">
        <x:v>Owner route/identity/closure missing</x:v>
      </x:c>
      <x:c r="H15" s="157" t="str">
        <x:v>P1</x:v>
      </x:c>
      <x:c r="I15" s="157" t="str">
        <x:v>BP-016</x:v>
      </x:c>
    </x:row>
    <x:row r="16" ht="64" customHeight="1">
      <x:c r="A16" s="157" t="str">
        <x:v>Dashboard</x:v>
      </x:c>
      <x:c r="B16" s="157" t="str">
        <x:v>Facts → governed KPI</x:v>
      </x:c>
      <x:c r="C16" s="157" t="str">
        <x:v>dashboard</x:v>
      </x:c>
      <x:c r="D16" s="157" t="str">
        <x:v>KPI engine</x:v>
      </x:c>
      <x:c r="E16" s="157" t="str">
        <x:v>dashboard_config_* + fact tables</x:v>
      </x:c>
      <x:c r="F16" s="157" t="str">
        <x:v>R</x:v>
      </x:c>
      <x:c r="G16" s="157" t="str">
        <x:v>Config heads/versions/parameters empty</x:v>
      </x:c>
      <x:c r="H16" s="157" t="str">
        <x:v>P1</x:v>
      </x:c>
      <x:c r="I16" s="157" t="str">
        <x:v>BP-019</x:v>
      </x:c>
    </x:row>
    <x:row r="17" ht="64" customHeight="1">
      <x:c r="A17" s="157" t="str">
        <x:v>Notification</x:v>
      </x:c>
      <x:c r="B17" s="157" t="str">
        <x:v>Event → recipient receipt</x:v>
      </x:c>
      <x:c r="C17" s="157" t="str">
        <x:v>background</x:v>
      </x:c>
      <x:c r="D17" s="157" t="str">
        <x:v>Outbox/provider</x:v>
      </x:c>
      <x:c r="E17" s="157" t="str">
        <x:v>notifications + preferences</x:v>
      </x:c>
      <x:c r="F17" s="157" t="str">
        <x:v>C/U</x:v>
      </x:c>
      <x:c r="G17" s="157" t="str">
        <x:v>7/8 profiles lack preferences; delivery unverified</x:v>
      </x:c>
      <x:c r="H17" s="157" t="str">
        <x:v>P1</x:v>
      </x:c>
      <x:c r="I17" s="157" t="str">
        <x:v>BP-021</x:v>
      </x:c>
    </x:row>
    <x:row r="18" ht="64" customHeight="1">
      <x:c r="A18" s="157" t="str">
        <x:v>Senaei</x:v>
      </x:c>
      <x:c r="B18" s="157" t="str">
        <x:v>Submission → external receipt</x:v>
      </x:c>
      <x:c r="C18" s="157" t="str">
        <x:v>background adapter</x:v>
      </x:c>
      <x:c r="D18" s="157" t="str">
        <x:v>Senaei multipart adapter</x:v>
      </x:c>
      <x:c r="E18" s="157" t="str">
        <x:v>integration attempt + provider receipt</x:v>
      </x:c>
      <x:c r="F18" s="157" t="str">
        <x:v>C/U</x:v>
      </x:c>
      <x:c r="G18" s="157" t="str">
        <x:v>BLOCKED_TRIGGER_DECISION</x:v>
      </x:c>
      <x:c r="H18" s="157" t="str">
        <x:v>P1</x:v>
      </x:c>
      <x:c r="I18" s="157" t="str">
        <x:v>BP-022</x:v>
      </x:c>
    </x:row>
  </x:sheetData>
  <x:mergeCells>
    <x:mergeCell ref="A1:I1"/>
    <x:mergeCell ref="A2:I2"/>
  </x:mergeCells>
  <x:conditionalFormatting sqref="H5:H18">
    <x:cfRule type="containsText" dxfId="2" priority="1" operator="containsText" text="P0"/>
  </x:conditionalFormatting>
  <x:pageMargins left="0.7" right="0.7" top="0.75" bottom="0.75" header="0.3" footer="0.3"/>
</x:worksheet>
</file>

<file path=xl/worksheets/sheet25.xml><?xml version="1.0" encoding="utf-8"?>
<x:worksheet xmlns:x="http://schemas.openxmlformats.org/spreadsheetml/2006/main">
  <x:sheetViews>
    <x:sheetView showGridLines="0" workbookViewId="0"/>
  </x:sheetViews>
  <x:sheetFormatPr defaultRowHeight="15"/>
  <x:cols>
    <x:col min="1" max="1" width="8" hidden="0" customWidth="1"/>
    <x:col min="2" max="2" width="18" hidden="0" customWidth="1"/>
    <x:col min="3" max="3" width="30" hidden="0" customWidth="1"/>
    <x:col min="4" max="4" width="30" hidden="0" customWidth="1"/>
    <x:col min="5" max="5" width="52" hidden="0" customWidth="1"/>
    <x:col min="6" max="6" width="10" hidden="0" customWidth="1"/>
    <x:col min="7" max="7" width="48" hidden="0" customWidth="1"/>
    <x:col min="8" max="8" width="42" hidden="0" customWidth="1"/>
    <x:col min="9" max="9" width="16" hidden="0" customWidth="1"/>
    <x:col min="10" max="10" width="20" hidden="0" customWidth="1"/>
    <x:col min="11" max="11" width="48" hidden="0" customWidth="1"/>
    <x:col min="12" max="12" width="22" hidden="0" customWidth="1"/>
  </x:cols>
  <x:sheetData>
    <x:row r="1">
      <x:c r="A1" s="129" t="str">
        <x:v>TRAINING RUNBOOK — ONE VISIT END TO END</x:v>
      </x:c>
      <x:c r="B1" s="129"/>
      <x:c r="C1" s="129"/>
      <x:c r="D1" s="129"/>
      <x:c r="E1" s="129"/>
      <x:c r="F1" s="129"/>
      <x:c r="G1" s="129"/>
      <x:c r="H1" s="129"/>
      <x:c r="I1" s="129"/>
      <x:c r="J1" s="129"/>
      <x:c r="K1" s="129"/>
      <x:c r="L1" s="129"/>
    </x:row>
    <x:row r="2">
      <x:c r="A2" s="42" t="str">
        <x:v>What the learner fills, what the platform reads/writes, what should happen, and the exact break/fix owner.</x:v>
      </x:c>
      <x:c r="B2" s="42"/>
      <x:c r="C2" s="42"/>
      <x:c r="D2" s="42"/>
      <x:c r="E2" s="42"/>
      <x:c r="F2" s="42"/>
      <x:c r="G2" s="42"/>
      <x:c r="H2" s="42"/>
      <x:c r="I2" s="42"/>
      <x:c r="J2" s="42"/>
      <x:c r="K2" s="42"/>
      <x:c r="L2" s="42"/>
    </x:row>
    <x:row r="3">
      <x:c r="A3" s="130"/>
      <x:c r="B3" s="130"/>
      <x:c r="C3" s="130"/>
      <x:c r="D3" s="130"/>
      <x:c r="E3" s="130"/>
      <x:c r="F3" s="130"/>
      <x:c r="G3" s="130"/>
      <x:c r="H3" s="130"/>
      <x:c r="I3" s="130"/>
      <x:c r="J3" s="130"/>
      <x:c r="K3" s="130"/>
      <x:c r="L3" s="130"/>
    </x:row>
    <x:row r="4">
      <x:c r="A4" s="147" t="str">
        <x:v>Step</x:v>
      </x:c>
      <x:c r="B4" s="147" t="str">
        <x:v>Persona</x:v>
      </x:c>
      <x:c r="C4" s="147" t="str">
        <x:v>Learner action</x:v>
      </x:c>
      <x:c r="D4" s="147" t="str">
        <x:v>Screen / route</x:v>
      </x:c>
      <x:c r="E4" s="147" t="str">
        <x:v>Fields to fill or verify</x:v>
      </x:c>
      <x:c r="F4" s="147" t="str">
        <x:v>CRUD</x:v>
      </x:c>
      <x:c r="G4" s="147" t="str">
        <x:v>Records affected</x:v>
      </x:c>
      <x:c r="H4" s="147" t="str">
        <x:v>Wiring</x:v>
      </x:c>
      <x:c r="I4" s="147" t="str">
        <x:v>State</x:v>
      </x:c>
      <x:c r="J4" s="147" t="str">
        <x:v>Finding</x:v>
      </x:c>
      <x:c r="K4" s="147" t="str">
        <x:v>Trainer instruction / recovery</x:v>
      </x:c>
      <x:c r="L4" s="147" t="str">
        <x:v>Fix owner</x:v>
      </x:c>
    </x:row>
    <x:row r="5" ht="72" customHeight="1">
      <x:c r="A5" s="157" t="str">
        <x:v>01</x:v>
      </x:c>
      <x:c r="B5" s="157" t="str">
        <x:v>Admin</x:v>
      </x:c>
      <x:c r="C5" s="157" t="str">
        <x:v>Create persona</x:v>
      </x:c>
      <x:c r="D5" s="157" t="str">
        <x:v>/admin/access</x:v>
      </x:c>
      <x:c r="E5" s="157" t="str">
        <x:v>Staff identity; tenant/org; role; capability grants</x:v>
      </x:c>
      <x:c r="F5" s="157" t="str">
        <x:v>C</x:v>
      </x:c>
      <x:c r="G5" s="157" t="str">
        <x:v>profiles; user_roles; user_capability_grants</x:v>
      </x:c>
      <x:c r="H5" s="157" t="str">
        <x:v>Identity tables + Supabase Auth</x:v>
      </x:c>
      <x:c r="I5" s="157" t="str">
        <x:v>BREAKING</x:v>
      </x:c>
      <x:c r="J5" s="157" t="str">
        <x:v>BP-001</x:v>
      </x:c>
      <x:c r="K5" s="157" t="str">
        <x:v>Provide safe persona pack</x:v>
      </x:c>
      <x:c r="L5" s="157" t="str">
        <x:v>Admin/Identity</x:v>
      </x:c>
    </x:row>
    <x:row r="6" ht="72" customHeight="1">
      <x:c r="A6" s="157" t="str">
        <x:v>02</x:v>
      </x:c>
      <x:c r="B6" s="157" t="str">
        <x:v>Compliance Admin</x:v>
      </x:c>
      <x:c r="C6" s="157" t="str">
        <x:v>Create configuration request</x:v>
      </x:c>
      <x:c r="D6" s="157" t="str">
        <x:v>/admin/compliance-requests/new</x:v>
      </x:c>
      <x:c r="E6" s="157" t="str">
        <x:v>Regulation; package; checklist items; workflow; effective version</x:v>
      </x:c>
      <x:c r="F6" s="157" t="str">
        <x:v>C/U</x:v>
      </x:c>
      <x:c r="G6" s="157" t="str">
        <x:v>compliance_configuration_requests; components; package_versions</x:v>
      </x:c>
      <x:c r="H6" s="157" t="str">
        <x:v>Server actions → RLS tables</x:v>
      </x:c>
      <x:c r="I6" s="157" t="str">
        <x:v>PARTIAL</x:v>
      </x:c>
      <x:c r="J6" s="157" t="str">
        <x:v>BP-003</x:v>
      </x:c>
      <x:c r="K6" s="157" t="str">
        <x:v>Run maker-checker fixture</x:v>
      </x:c>
      <x:c r="L6" s="157" t="str">
        <x:v>Compliance</x:v>
      </x:c>
    </x:row>
    <x:row r="7" ht="72" customHeight="1">
      <x:c r="A7" s="157" t="str">
        <x:v>03</x:v>
      </x:c>
      <x:c r="B7" s="157" t="str">
        <x:v>Approver</x:v>
      </x:c>
      <x:c r="C7" s="157" t="str">
        <x:v>Approve and publish configuration</x:v>
      </x:c>
      <x:c r="D7" s="157" t="str">
        <x:v>/admin/compliance-approvals</x:v>
      </x:c>
      <x:c r="E7" s="157" t="str">
        <x:v>Decision; reason; effective date/version</x:v>
      </x:c>
      <x:c r="F7" s="157" t="str">
        <x:v>C/U</x:v>
      </x:c>
      <x:c r="G7" s="157" t="str">
        <x:v>decisions; publications; immutable versions</x:v>
      </x:c>
      <x:c r="H7" s="157" t="str">
        <x:v>Approval transition/RPC</x:v>
      </x:c>
      <x:c r="I7" s="157" t="str">
        <x:v>UNVERIFIED</x:v>
      </x:c>
      <x:c r="J7" s="157" t="str">
        <x:v>BP-003</x:v>
      </x:c>
      <x:c r="K7" s="157" t="str">
        <x:v>Prove self-approval deny + publish</x:v>
      </x:c>
      <x:c r="L7" s="157" t="str">
        <x:v>Compliance</x:v>
      </x:c>
    </x:row>
    <x:row r="8" ht="72" customHeight="1">
      <x:c r="A8" s="157" t="str">
        <x:v>04</x:v>
      </x:c>
      <x:c r="B8" s="157" t="str">
        <x:v>Admin</x:v>
      </x:c>
      <x:c r="C8" s="157" t="str">
        <x:v>Publish execution rules</x:v>
      </x:c>
      <x:c r="D8" s="157" t="str">
        <x:v>/admin/execution</x:v>
      </x:c>
      <x:c r="E8" s="157" t="str">
        <x:v>Capacity; modes; cancellation reasons; eligibility settings</x:v>
      </x:c>
      <x:c r="F8" s="157" t="str">
        <x:v>U</x:v>
      </x:c>
      <x:c r="G8" s="157" t="str">
        <x:v>engine_settings; config_versions</x:v>
      </x:c>
      <x:c r="H8" s="157" t="str">
        <x:v>Admin action → versioned config</x:v>
      </x:c>
      <x:c r="I8" s="157" t="str">
        <x:v>PARTIAL</x:v>
      </x:c>
      <x:c r="J8" s="157" t="str">
        <x:v>BP-004</x:v>
      </x:c>
      <x:c r="K8" s="157" t="str">
        <x:v>Confirm governed values</x:v>
      </x:c>
      <x:c r="L8" s="157" t="str">
        <x:v>Product/Operations</x:v>
      </x:c>
    </x:row>
    <x:row r="9" ht="72" customHeight="1">
      <x:c r="A9" s="157" t="str">
        <x:v>05</x:v>
      </x:c>
      <x:c r="B9" s="157" t="str">
        <x:v>Planner</x:v>
      </x:c>
      <x:c r="C9" s="157" t="str">
        <x:v>Select canonical factory</x:v>
      </x:c>
      <x:c r="D9" s="157" t="str">
        <x:v>/planning/single</x:v>
      </x:c>
      <x:c r="E9" s="157" t="str">
        <x:v>CR/licence/factory; official location; legal/status data</x:v>
      </x:c>
      <x:c r="F9" s="157" t="str">
        <x:v>R</x:v>
      </x:c>
      <x:c r="G9" s="157" t="str">
        <x:v>factories; industrial_licenses; commercial_registrations; plant_addresses</x:v>
      </x:c>
      <x:c r="H9" s="157" t="str">
        <x:v>RLS reads + target resolver</x:v>
      </x:c>
      <x:c r="I9" s="157" t="str">
        <x:v>BREAKING</x:v>
      </x:c>
      <x:c r="J9" s="157" t="str">
        <x:v>BP-005</x:v>
      </x:c>
      <x:c r="K9" s="157" t="str">
        <x:v>Backfill canonical master data</x:v>
      </x:c>
      <x:c r="L9" s="157" t="str">
        <x:v>Data/Integration</x:v>
      </x:c>
    </x:row>
    <x:row r="10" ht="72" customHeight="1">
      <x:c r="A10" s="157" t="str">
        <x:v>06</x:v>
      </x:c>
      <x:c r="B10" s="157" t="str">
        <x:v>Planner</x:v>
      </x:c>
      <x:c r="C10" s="157" t="str">
        <x:v>Define visit</x:v>
      </x:c>
      <x:c r="D10" s="157" t="str">
        <x:v>/planning/single</x:v>
      </x:c>
      <x:c r="E10" s="157" t="str">
        <x:v>Visit type; priority; window; mode; optional package</x:v>
      </x:c>
      <x:c r="F10" s="157" t="str">
        <x:v>C/U</x:v>
      </x:c>
      <x:c r="G10" s="157" t="str">
        <x:v>visit_plans; planning_lookups; visit_packages</x:v>
      </x:c>
      <x:c r="H10" s="157" t="str">
        <x:v>Draft service + validation</x:v>
      </x:c>
      <x:c r="I10" s="157" t="str">
        <x:v>PARTIAL</x:v>
      </x:c>
      <x:c r="J10" s="157" t="str">
        <x:v>BP-006</x:v>
      </x:c>
      <x:c r="K10" s="157" t="str">
        <x:v>Preflight and draft recovery</x:v>
      </x:c>
      <x:c r="L10" s="157" t="str">
        <x:v>Planning</x:v>
      </x:c>
    </x:row>
    <x:row r="11" ht="72" customHeight="1">
      <x:c r="A11" s="157" t="str">
        <x:v>07</x:v>
      </x:c>
      <x:c r="B11" s="157" t="str">
        <x:v>Planner</x:v>
      </x:c>
      <x:c r="C11" s="157" t="str">
        <x:v>Assign inspector</x:v>
      </x:c>
      <x:c r="D11" s="157" t="str">
        <x:v>/planning/single</x:v>
      </x:c>
      <x:c r="E11" s="157" t="str">
        <x:v>Inspector; capacity; overlap; region/org scope</x:v>
      </x:c>
      <x:c r="F11" s="157" t="str">
        <x:v>C</x:v>
      </x:c>
      <x:c r="G11" s="157" t="str">
        <x:v>assignments</x:v>
      </x:c>
      <x:c r="H11" s="157" t="str">
        <x:v>Eligibility resolver</x:v>
      </x:c>
      <x:c r="I11" s="157" t="str">
        <x:v>UNVERIFIED</x:v>
      </x:c>
      <x:c r="J11" s="157" t="str">
        <x:v>BP-001; BP-006</x:v>
      </x:c>
      <x:c r="K11" s="157" t="str">
        <x:v>Use clean eligible inspectors</x:v>
      </x:c>
      <x:c r="L11" s="157" t="str">
        <x:v>Planning/Identity</x:v>
      </x:c>
    </x:row>
    <x:row r="12" ht="72" customHeight="1">
      <x:c r="A12" s="157" t="str">
        <x:v>08</x:v>
      </x:c>
      <x:c r="B12" s="157" t="str">
        <x:v>Planner</x:v>
      </x:c>
      <x:c r="C12" s="157" t="str">
        <x:v>Publish exactly once</x:v>
      </x:c>
      <x:c r="D12" s="157" t="str">
        <x:v>/planning/single</x:v>
      </x:c>
      <x:c r="E12" s="157" t="str">
        <x:v>Validated intent + idempotency key</x:v>
      </x:c>
      <x:c r="F12" s="157" t="str">
        <x:v>C/U</x:v>
      </x:c>
      <x:c r="G12" s="157" t="str">
        <x:v>visit_plans; visits; assignments; package snapshots; audit; notifications</x:v>
      </x:c>
      <x:c r="H12" s="157" t="str">
        <x:v>publish_single_visit transaction</x:v>
      </x:c>
      <x:c r="I12" s="157" t="str">
        <x:v>BREAKING</x:v>
      </x:c>
      <x:c r="J12" s="157" t="str">
        <x:v>BP-006</x:v>
      </x:c>
      <x:c r="K12" s="157" t="str">
        <x:v>Make all writes atomic</x:v>
      </x:c>
      <x:c r="L12" s="157" t="str">
        <x:v>Backend/DB</x:v>
      </x:c>
    </x:row>
    <x:row r="13" ht="72" customHeight="1">
      <x:c r="A13" s="157" t="str">
        <x:v>09</x:v>
      </x:c>
      <x:c r="B13" s="157" t="str">
        <x:v>Inspector</x:v>
      </x:c>
      <x:c r="C13" s="157" t="str">
        <x:v>Sign in and find assignment</x:v>
      </x:c>
      <x:c r="D13" s="157" t="str">
        <x:v>/login → /execution or /field</x:v>
      </x:c>
      <x:c r="E13" s="157" t="str">
        <x:v>Work identity; assigned published visit</x:v>
      </x:c>
      <x:c r="F13" s="157" t="str">
        <x:v>R</x:v>
      </x:c>
      <x:c r="G13" s="157" t="str">
        <x:v>auth session; profiles; assignments; visits</x:v>
      </x:c>
      <x:c r="H13" s="157" t="str">
        <x:v>Auth + RLS read</x:v>
      </x:c>
      <x:c r="I13" s="157" t="str">
        <x:v>BREAKING</x:v>
      </x:c>
      <x:c r="J13" s="157" t="str">
        <x:v>BP-001; BP-009</x:v>
      </x:c>
      <x:c r="K13" s="157" t="str">
        <x:v>Approved inspector credential</x:v>
      </x:c>
      <x:c r="L13" s="157" t="str">
        <x:v>Identity/QA</x:v>
      </x:c>
    </x:row>
    <x:row r="14" ht="72" customHeight="1">
      <x:c r="A14" s="157" t="str">
        <x:v>10</x:v>
      </x:c>
      <x:c r="B14" s="157" t="str">
        <x:v>Inspector</x:v>
      </x:c>
      <x:c r="C14" s="157" t="str">
        <x:v>Prepare visit</x:v>
      </x:c>
      <x:c r="D14" s="157" t="str">
        <x:v>/field/[visitId]</x:v>
      </x:c>
      <x:c r="E14" s="157" t="str">
        <x:v>Execution date; eligible mode; package resolution; readiness</x:v>
      </x:c>
      <x:c r="F14" s="157" t="str">
        <x:v>C/U</x:v>
      </x:c>
      <x:c r="G14" s="157" t="str">
        <x:v>visit_preparations; visit_packages; visits</x:v>
      </x:c>
      <x:c r="H14" s="157" t="str">
        <x:v>Preparation transition</x:v>
      </x:c>
      <x:c r="I14" s="157" t="str">
        <x:v>UNVERIFIED</x:v>
      </x:c>
      <x:c r="J14" s="157" t="str">
        <x:v>BP-009</x:v>
      </x:c>
      <x:c r="K14" s="157" t="str">
        <x:v>Prove missing-package/config branches</x:v>
      </x:c>
      <x:c r="L14" s="157" t="str">
        <x:v>Execution</x:v>
      </x:c>
    </x:row>
    <x:row r="15" ht="72" customHeight="1">
      <x:c r="A15" s="157" t="str">
        <x:v>11</x:v>
      </x:c>
      <x:c r="B15" s="157" t="str">
        <x:v>Inspector</x:v>
      </x:c>
      <x:c r="C15" s="157" t="str">
        <x:v>Start journey</x:v>
      </x:c>
      <x:c r="D15" s="157" t="str">
        <x:v>/field/[visitId]/travel</x:v>
      </x:c>
      <x:c r="E15" s="157" t="str">
        <x:v>Current time; location permission; visit window</x:v>
      </x:c>
      <x:c r="F15" s="157" t="str">
        <x:v>C/U</x:v>
      </x:c>
      <x:c r="G15" s="157" t="str">
        <x:v>journey_sessions; lifecycle events; visits</x:v>
      </x:c>
      <x:c r="H15" s="157" t="str">
        <x:v>Journey transition</x:v>
      </x:c>
      <x:c r="I15" s="157" t="str">
        <x:v>UNVERIFIED</x:v>
      </x:c>
      <x:c r="J15" s="157" t="str">
        <x:v>BP-010</x:v>
      </x:c>
      <x:c r="K15" s="157" t="str">
        <x:v>Define configured/unconfigured behavior</x:v>
      </x:c>
      <x:c r="L15" s="157" t="str">
        <x:v>Execution/GIS</x:v>
      </x:c>
    </x:row>
    <x:row r="16" ht="72" customHeight="1">
      <x:c r="A16" s="157" t="str">
        <x:v>12</x:v>
      </x:c>
      <x:c r="B16" s="157" t="str">
        <x:v>Inspector</x:v>
      </x:c>
      <x:c r="C16" s="157" t="str">
        <x:v>Confirm arrival</x:v>
      </x:c>
      <x:c r="D16" s="157" t="str">
        <x:v>/field/[visitId]/travel</x:v>
      </x:c>
      <x:c r="E16" s="157" t="str">
        <x:v>Coordinates; geofence result or override; arrival evidence</x:v>
      </x:c>
      <x:c r="F16" s="157" t="str">
        <x:v>C</x:v>
      </x:c>
      <x:c r="G16" s="157" t="str">
        <x:v>geo_events; evidence; visit_location_events</x:v>
      </x:c>
      <x:c r="H16" s="157" t="str">
        <x:v>Arrival transition + evidence upload</x:v>
      </x:c>
      <x:c r="I16" s="157" t="str">
        <x:v>BREAKING</x:v>
      </x:c>
      <x:c r="J16" s="157" t="str">
        <x:v>BP-010</x:v>
      </x:c>
      <x:c r="K16" s="157" t="str">
        <x:v>Repair arrival linked_id semantics</x:v>
      </x:c>
      <x:c r="L16" s="157" t="str">
        <x:v>GIS/DB</x:v>
      </x:c>
    </x:row>
    <x:row r="17" ht="72" customHeight="1">
      <x:c r="A17" s="157" t="str">
        <x:v>13</x:v>
      </x:c>
      <x:c r="B17" s="157" t="str">
        <x:v>Inspector</x:v>
      </x:c>
      <x:c r="C17" s="157" t="str">
        <x:v>Start inspection</x:v>
      </x:c>
      <x:c r="D17" s="157" t="str">
        <x:v>/field/inspection/[id]</x:v>
      </x:c>
      <x:c r="E17" s="157" t="str">
        <x:v>Eligibility; start timestamp</x:v>
      </x:c>
      <x:c r="F17" s="157" t="str">
        <x:v>C/U</x:v>
      </x:c>
      <x:c r="G17" s="157" t="str">
        <x:v>inspections</x:v>
      </x:c>
      <x:c r="H17" s="157" t="str">
        <x:v>Execution transition</x:v>
      </x:c>
      <x:c r="I17" s="157" t="str">
        <x:v>UNVERIFIED</x:v>
      </x:c>
      <x:c r="J17" s="157" t="str">
        <x:v>BP-011</x:v>
      </x:c>
      <x:c r="K17" s="157" t="str">
        <x:v>Prove transition guards</x:v>
      </x:c>
      <x:c r="L17" s="157" t="str">
        <x:v>Execution</x:v>
      </x:c>
    </x:row>
    <x:row r="18" ht="72" customHeight="1">
      <x:c r="A18" s="157" t="str">
        <x:v>14</x:v>
      </x:c>
      <x:c r="B18" s="157" t="str">
        <x:v>Inspector</x:v>
      </x:c>
      <x:c r="C18" s="157" t="str">
        <x:v>Answer checklist</x:v>
      </x:c>
      <x:c r="D18" s="157" t="str">
        <x:v>/field/inspection/[id]</x:v>
      </x:c>
      <x:c r="E18" s="157" t="str">
        <x:v>Text; number; select; date; mandatory and conditional answers</x:v>
      </x:c>
      <x:c r="F18" s="157" t="str">
        <x:v>C/U</x:v>
      </x:c>
      <x:c r="G18" s="157" t="str">
        <x:v>checklist_responses</x:v>
      </x:c>
      <x:c r="H18" s="157" t="str">
        <x:v>Client/server validation</x:v>
      </x:c>
      <x:c r="I18" s="157" t="str">
        <x:v>PARTIAL</x:v>
      </x:c>
      <x:c r="J18" s="157" t="str">
        <x:v>BP-011</x:v>
      </x:c>
      <x:c r="K18" s="157" t="str">
        <x:v>Test every configured field type</x:v>
      </x:c>
      <x:c r="L18" s="157" t="str">
        <x:v>Frontend/Backend</x:v>
      </x:c>
    </x:row>
    <x:row r="19" ht="72" customHeight="1">
      <x:c r="A19" s="157" t="str">
        <x:v>15</x:v>
      </x:c>
      <x:c r="B19" s="157" t="str">
        <x:v>Inspector</x:v>
      </x:c>
      <x:c r="C19" s="157" t="str">
        <x:v>Attach evidence and finding</x:v>
      </x:c>
      <x:c r="D19" s="157" t="str">
        <x:v>/field/inspection/[id]</x:v>
      </x:c>
      <x:c r="E19" s="157" t="str">
        <x:v>Photo/document; note; classification; violation code</x:v>
      </x:c>
      <x:c r="F19" s="157" t="str">
        <x:v>C</x:v>
      </x:c>
      <x:c r="G19" s="157" t="str">
        <x:v>evidence; storage; findings; violations</x:v>
      </x:c>
      <x:c r="H19" s="157" t="str">
        <x:v>Upload + mutations</x:v>
      </x:c>
      <x:c r="I19" s="157" t="str">
        <x:v>PARTIAL</x:v>
      </x:c>
      <x:c r="J19" s="157" t="str">
        <x:v>BP-012</x:v>
      </x:c>
      <x:c r="K19" s="157" t="str">
        <x:v>Test retry, failure, linkage, file limits</x:v>
      </x:c>
      <x:c r="L19" s="157" t="str">
        <x:v>Storage/Execution</x:v>
      </x:c>
    </x:row>
    <x:row r="20" ht="72" customHeight="1">
      <x:c r="A20" s="157" t="str">
        <x:v>16</x:v>
      </x:c>
      <x:c r="B20" s="157" t="str">
        <x:v>Inspector</x:v>
      </x:c>
      <x:c r="C20" s="157" t="str">
        <x:v>Save, leave and resume</x:v>
      </x:c>
      <x:c r="D20" s="157" t="str">
        <x:v>/field/inspection/[id]</x:v>
      </x:c>
      <x:c r="E20" s="157" t="str">
        <x:v>Draft answers/evidence; local/server version</x:v>
      </x:c>
      <x:c r="F20" s="157" t="str">
        <x:v>R/U</x:v>
      </x:c>
      <x:c r="G20" s="157" t="str">
        <x:v>responses; evidence; local sync/conflicts</x:v>
      </x:c>
      <x:c r="H20" s="157" t="str">
        <x:v>Draft service + conflict resolver</x:v>
      </x:c>
      <x:c r="I20" s="157" t="str">
        <x:v>UNVERIFIED</x:v>
      </x:c>
      <x:c r="J20" s="157" t="str">
        <x:v>BP-012</x:v>
      </x:c>
      <x:c r="K20" s="157" t="str">
        <x:v>Prove refresh/re-login/conflict paths</x:v>
      </x:c>
      <x:c r="L20" s="157" t="str">
        <x:v>Offline/Execution</x:v>
      </x:c>
    </x:row>
    <x:row r="21" ht="72" customHeight="1">
      <x:c r="A21" s="157" t="str">
        <x:v>17</x:v>
      </x:c>
      <x:c r="B21" s="157" t="str">
        <x:v>Inspector</x:v>
      </x:c>
      <x:c r="C21" s="157" t="str">
        <x:v>Submit immutable version</x:v>
      </x:c>
      <x:c r="D21" s="157" t="str">
        <x:v>/field/inspection/[id]</x:v>
      </x:c>
      <x:c r="E21" s="157" t="str">
        <x:v>Completion attestation; all mandatory checkpoints</x:v>
      </x:c>
      <x:c r="F21" s="157" t="str">
        <x:v>C/U</x:v>
      </x:c>
      <x:c r="G21" s="157" t="str">
        <x:v>submission_versions; inspections; audit; notifications</x:v>
      </x:c>
      <x:c r="H21" s="157" t="str">
        <x:v>Submission transaction</x:v>
      </x:c>
      <x:c r="I21" s="157" t="str">
        <x:v>BREAKING</x:v>
      </x:c>
      <x:c r="J21" s="157" t="str">
        <x:v>BP-014</x:v>
      </x:c>
      <x:c r="K21" s="157" t="str">
        <x:v>Enforce immutable snapshot before submitted</x:v>
      </x:c>
      <x:c r="L21" s="157" t="str">
        <x:v>Workflow/DB</x:v>
      </x:c>
    </x:row>
    <x:row r="22" ht="72" customHeight="1">
      <x:c r="A22" s="157" t="str">
        <x:v>18</x:v>
      </x:c>
      <x:c r="B22" s="157" t="str">
        <x:v>Reviewer</x:v>
      </x:c>
      <x:c r="C22" s="157" t="str">
        <x:v>Open review</x:v>
      </x:c>
      <x:c r="D22" s="157" t="str">
        <x:v>/reviews/[id]</x:v>
      </x:c>
      <x:c r="E22" s="157" t="str">
        <x:v>Latest submission version; evidence; factory context</x:v>
      </x:c>
      <x:c r="F22" s="157" t="str">
        <x:v>R/C</x:v>
      </x:c>
      <x:c r="G22" s="157" t="str">
        <x:v>reviews; submission_versions</x:v>
      </x:c>
      <x:c r="H22" s="157" t="str">
        <x:v>RLS + review claim</x:v>
      </x:c>
      <x:c r="I22" s="157" t="str">
        <x:v>UNVERIFIED</x:v>
      </x:c>
      <x:c r="J22" s="157" t="str">
        <x:v>BP-001; BP-014</x:v>
      </x:c>
      <x:c r="K22" s="157" t="str">
        <x:v>Provide reviewer fixture</x:v>
      </x:c>
      <x:c r="L22" s="157" t="str">
        <x:v>Review</x:v>
      </x:c>
    </x:row>
    <x:row r="23" ht="72" customHeight="1">
      <x:c r="A23" s="157" t="str">
        <x:v>19</x:v>
      </x:c>
      <x:c r="B23" s="157" t="str">
        <x:v>Reviewer</x:v>
      </x:c>
      <x:c r="C23" s="157" t="str">
        <x:v>Approve / reject / return</x:v>
      </x:c>
      <x:c r="D23" s="157" t="str">
        <x:v>/reviews/[id]</x:v>
      </x:c>
      <x:c r="E23" s="157" t="str">
        <x:v>Decision; reason; returned sections</x:v>
      </x:c>
      <x:c r="F23" s="157" t="str">
        <x:v>C/U</x:v>
      </x:c>
      <x:c r="G23" s="157" t="str">
        <x:v>reviews; inspections; audit; notifications</x:v>
      </x:c>
      <x:c r="H23" s="157" t="str">
        <x:v>Review transition</x:v>
      </x:c>
      <x:c r="I23" s="157" t="str">
        <x:v>BREAKING</x:v>
      </x:c>
      <x:c r="J23" s="157" t="str">
        <x:v>BP-014</x:v>
      </x:c>
      <x:c r="K23" s="157" t="str">
        <x:v>DB-enforce review-before-approval</x:v>
      </x:c>
      <x:c r="L23" s="157" t="str">
        <x:v>Review/DB</x:v>
      </x:c>
    </x:row>
    <x:row r="24" ht="72" customHeight="1">
      <x:c r="A24" s="157" t="str">
        <x:v>20</x:v>
      </x:c>
      <x:c r="B24" s="157" t="str">
        <x:v>Inspector</x:v>
      </x:c>
      <x:c r="C24" s="157" t="str">
        <x:v>Correct returned scope</x:v>
      </x:c>
      <x:c r="D24" s="157" t="str">
        <x:v>/field/inspection/[id]</x:v>
      </x:c>
      <x:c r="E24" s="157" t="str">
        <x:v>Only returned answers/evidence</x:v>
      </x:c>
      <x:c r="F24" s="157" t="str">
        <x:v>U/C</x:v>
      </x:c>
      <x:c r="G24" s="157" t="str">
        <x:v>responses; evidence; submission_versions</x:v>
      </x:c>
      <x:c r="H24" s="157" t="str">
        <x:v>Scoped rework + new version</x:v>
      </x:c>
      <x:c r="I24" s="157" t="str">
        <x:v>UNVERIFIED</x:v>
      </x:c>
      <x:c r="J24" s="157" t="str">
        <x:v>BP-014</x:v>
      </x:c>
      <x:c r="K24" s="157" t="str">
        <x:v>Prove tamper-evident scope rail</x:v>
      </x:c>
      <x:c r="L24" s="157" t="str">
        <x:v>Execution/Review</x:v>
      </x:c>
    </x:row>
    <x:row r="25" ht="72" customHeight="1">
      <x:c r="A25" s="157" t="str">
        <x:v>21</x:v>
      </x:c>
      <x:c r="B25" s="157" t="str">
        <x:v>Compliance</x:v>
      </x:c>
      <x:c r="C25" s="157" t="str">
        <x:v>Open follow-up case</x:v>
      </x:c>
      <x:c r="D25" s="157" t="str">
        <x:v>/cases</x:v>
      </x:c>
      <x:c r="E25" s="157" t="str">
        <x:v>Case type; origin inspection; owner</x:v>
      </x:c>
      <x:c r="F25" s="157" t="str">
        <x:v>C</x:v>
      </x:c>
      <x:c r="G25" s="157" t="str">
        <x:v>cases</x:v>
      </x:c>
      <x:c r="H25" s="157" t="str">
        <x:v>Case server action</x:v>
      </x:c>
      <x:c r="I25" s="157" t="str">
        <x:v>PARTIAL</x:v>
      </x:c>
      <x:c r="J25" s="157" t="str">
        <x:v>BP-016</x:v>
      </x:c>
      <x:c r="K25" s="157" t="str">
        <x:v>Define assignment and duplicate prevention</x:v>
      </x:c>
      <x:c r="L25" s="157" t="str">
        <x:v>Cases</x:v>
      </x:c>
    </x:row>
    <x:row r="26" ht="72" customHeight="1">
      <x:c r="A26" s="157" t="str">
        <x:v>22</x:v>
      </x:c>
      <x:c r="B26" s="157" t="str">
        <x:v>Corrective owner</x:v>
      </x:c>
      <x:c r="C26" s="157" t="str">
        <x:v>Submit corrective evidence</x:v>
      </x:c>
      <x:c r="D26" s="157" t="str">
        <x:v>Not found</x:v>
      </x:c>
      <x:c r="E26" s="157" t="str">
        <x:v>Owner identity; remediation evidence; response</x:v>
      </x:c>
      <x:c r="F26" s="157" t="str">
        <x:v>C/U</x:v>
      </x:c>
      <x:c r="G26" s="157" t="str">
        <x:v>correction evidence / case records</x:v>
      </x:c>
      <x:c r="H26" s="157" t="str">
        <x:v>No complete route confirmed</x:v>
      </x:c>
      <x:c r="I26" s="157" t="str">
        <x:v>BREAKING</x:v>
      </x:c>
      <x:c r="J26" s="157" t="str">
        <x:v>BP-016</x:v>
      </x:c>
      <x:c r="K26" s="157" t="str">
        <x:v>Create owner portal journey</x:v>
      </x:c>
      <x:c r="L26" s="157" t="str">
        <x:v>Product/Engineering</x:v>
      </x:c>
    </x:row>
    <x:row r="27" ht="72" customHeight="1">
      <x:c r="A27" s="157" t="str">
        <x:v>23</x:v>
      </x:c>
      <x:c r="B27" s="157" t="str">
        <x:v>System</x:v>
      </x:c>
      <x:c r="C27" s="157" t="str">
        <x:v>Notify every handoff</x:v>
      </x:c>
      <x:c r="D27" s="157" t="str">
        <x:v>Background</x:v>
      </x:c>
      <x:c r="E27" s="157" t="str">
        <x:v>Recipient; channel; preference; payload; idempotency</x:v>
      </x:c>
      <x:c r="F27" s="157" t="str">
        <x:v>C/U</x:v>
      </x:c>
      <x:c r="G27" s="157" t="str">
        <x:v>notifications; notification_preferences</x:v>
      </x:c>
      <x:c r="H27" s="157" t="str">
        <x:v>Outbox/provider worker</x:v>
      </x:c>
      <x:c r="I27" s="157" t="str">
        <x:v>BREAKING</x:v>
      </x:c>
      <x:c r="J27" s="157" t="str">
        <x:v>BP-021</x:v>
      </x:c>
      <x:c r="K27" s="157" t="str">
        <x:v>Complete preferences + delivery receipts</x:v>
      </x:c>
      <x:c r="L27" s="157" t="str">
        <x:v>Integration</x:v>
      </x:c>
    </x:row>
    <x:row r="28" ht="72" customHeight="1">
      <x:c r="A28" s="157" t="str">
        <x:v>24</x:v>
      </x:c>
      <x:c r="B28" s="157" t="str">
        <x:v>System / Management</x:v>
      </x:c>
      <x:c r="C28" s="157" t="str">
        <x:v>Report, close and sync</x:v>
      </x:c>
      <x:c r="D28" s="157" t="str">
        <x:v>/dashboard + background</x:v>
      </x:c>
      <x:c r="E28" s="157" t="str">
        <x:v>Published KPI config; terminal rules; Senaei trigger/receipt</x:v>
      </x:c>
      <x:c r="F28" s="157" t="str">
        <x:v>R/C/U</x:v>
      </x:c>
      <x:c r="G28" s="157" t="str">
        <x:v>dashboard_config_*; facts; integration attempts</x:v>
      </x:c>
      <x:c r="H28" s="157" t="str">
        <x:v>KPI engine + Senaei adapter</x:v>
      </x:c>
      <x:c r="I28" s="157" t="str">
        <x:v>BREAKING</x:v>
      </x:c>
      <x:c r="J28" s="157" t="str">
        <x:v>BP-019; BP-022</x:v>
      </x:c>
      <x:c r="K28" s="157" t="str">
        <x:v>Decide closure + trigger; publish config</x:v>
      </x:c>
      <x:c r="L28" s="157" t="str">
        <x:v>Product/Data/Integration</x:v>
      </x:c>
    </x:row>
  </x:sheetData>
  <x:mergeCells>
    <x:mergeCell ref="A1:L1"/>
    <x:mergeCell ref="A2:L2"/>
  </x:mergeCells>
  <x:conditionalFormatting sqref="I5:I28">
    <x:cfRule type="containsText" dxfId="3" priority="1" operator="containsText" text="WORKING"/>
    <x:cfRule type="containsText" dxfId="4" priority="2" operator="containsText" text="BREAKING"/>
    <x:cfRule type="containsText" dxfId="5" priority="3" operator="containsText" text="PARTIAL"/>
    <x:cfRule type="containsText" dxfId="6" priority="4" operator="containsText" text="UNVERIFIED"/>
    <x:cfRule type="containsText" dxfId="7" priority="5" operator="containsText" text="DECISION NEEDED"/>
  </x:conditionalFormatting>
  <x:pageMargins left="0.7" right="0.7" top="0.75" bottom="0.75" header="0.3" footer="0.3"/>
</x:worksheet>
</file>

<file path=xl/worksheets/sheet26.xml><?xml version="1.0" encoding="utf-8"?>
<x:worksheet xmlns:x="http://schemas.openxmlformats.org/spreadsheetml/2006/main">
  <x:sheetViews>
    <x:sheetView showGridLines="0" workbookViewId="0"/>
  </x:sheetViews>
  <x:sheetFormatPr defaultRowHeight="15"/>
  <x:cols>
    <x:col min="1" max="1" width="22" hidden="0" customWidth="1"/>
    <x:col min="2" max="2" width="25" hidden="0" customWidth="1"/>
    <x:col min="3" max="3" width="25" hidden="0" customWidth="1"/>
    <x:col min="4" max="4" width="25" hidden="0" customWidth="1"/>
    <x:col min="5" max="5" width="25" hidden="0" customWidth="1"/>
    <x:col min="6" max="6" width="25" hidden="0" customWidth="1"/>
    <x:col min="7" max="7" width="25" hidden="0" customWidth="1"/>
    <x:col min="8" max="8" width="25" hidden="0" customWidth="1"/>
    <x:col min="9" max="9" width="25" hidden="0" customWidth="1"/>
  </x:cols>
  <x:sheetData>
    <x:row r="1">
      <x:c r="A1" s="129" t="str">
        <x:v>GOLDEN THREAD — ENTERPRISE TRAINING CANVAS</x:v>
      </x:c>
      <x:c r="B1" s="129"/>
      <x:c r="C1" s="129"/>
      <x:c r="D1" s="129"/>
      <x:c r="E1" s="129"/>
      <x:c r="F1" s="129"/>
      <x:c r="G1" s="129"/>
      <x:c r="H1" s="129"/>
      <x:c r="I1" s="129"/>
    </x:row>
    <x:row r="2">
      <x:c r="A2" s="42" t="str">
        <x:v>Hover/comment on each stage for fields, CRUD, wiring, break and fix. Percentages are evidence-backed verified checkpoints ÷ applicable checkpoints.</x:v>
      </x:c>
      <x:c r="B2" s="42"/>
      <x:c r="C2" s="42"/>
      <x:c r="D2" s="42"/>
      <x:c r="E2" s="42"/>
      <x:c r="F2" s="42"/>
      <x:c r="G2" s="42"/>
      <x:c r="H2" s="42"/>
      <x:c r="I2" s="42"/>
    </x:row>
    <x:row r="3">
      <x:c r="A3" s="130"/>
      <x:c r="B3" s="130"/>
      <x:c r="C3" s="130"/>
      <x:c r="D3" s="130"/>
      <x:c r="E3" s="130"/>
      <x:c r="F3" s="130"/>
      <x:c r="G3" s="130"/>
      <x:c r="H3" s="130"/>
      <x:c r="I3" s="130"/>
    </x:row>
    <x:row r="4" ht="72" customHeight="1">
      <x:c r="A4" s="151" t="str">
        <x:v>Lane / stage</x:v>
      </x:c>
      <x:c r="B4" s="151" t="str">
        <x:v>1 · Identity</x:v>
      </x:c>
      <x:c r="C4" s="151" t="str">
        <x:v>2 · Configure</x:v>
      </x:c>
      <x:c r="D4" s="151" t="str">
        <x:v>3 · Plan</x:v>
      </x:c>
      <x:c r="E4" s="151" t="str">
        <x:v>4 · Prepare + arrive</x:v>
      </x:c>
      <x:c r="F4" s="151" t="str">
        <x:v>5 · Execute + submit</x:v>
      </x:c>
      <x:c r="G4" s="151" t="str">
        <x:v>6 · Review + rework</x:v>
      </x:c>
      <x:c r="H4" s="151" t="str">
        <x:v>7 · Correct + close</x:v>
      </x:c>
      <x:c r="I4" s="151" t="str">
        <x:v>8 · Report + sync</x:v>
      </x:c>
    </x:row>
    <x:row r="5" ht="72" customHeight="1">
      <x:c r="A5" s="152" t="str">
        <x:v>Administrator</x:v>
      </x:c>
      <x:c r="B5" s="153" t="str">
        <x:v>Create users
30%</x:v>
      </x:c>
      <x:c r="C5" s="154" t="str">
        <x:v>Publish package + rules
45%</x:v>
      </x:c>
      <x:c r="D5" s="155" t="str"/>
      <x:c r="E5" s="155" t="str"/>
      <x:c r="F5" s="155" t="str"/>
      <x:c r="G5" s="155" t="str"/>
      <x:c r="H5" s="155" t="str"/>
      <x:c r="I5" s="155" t="str"/>
    </x:row>
    <x:row r="6" ht="72" customHeight="1">
      <x:c r="A6" s="152" t="str">
        <x:v>Planner</x:v>
      </x:c>
      <x:c r="B6" s="155" t="str"/>
      <x:c r="C6" s="155" t="str"/>
      <x:c r="D6" s="154" t="str">
        <x:v>Select target → assign → publish
55%</x:v>
      </x:c>
      <x:c r="E6" s="155" t="str"/>
      <x:c r="F6" s="155" t="str"/>
      <x:c r="G6" s="155" t="str"/>
      <x:c r="H6" s="155" t="str"/>
      <x:c r="I6" s="155" t="str"/>
    </x:row>
    <x:row r="7" ht="72" customHeight="1">
      <x:c r="A7" s="152" t="str">
        <x:v>Inspector</x:v>
      </x:c>
      <x:c r="B7" s="155" t="str"/>
      <x:c r="C7" s="155" t="str"/>
      <x:c r="D7" s="155" t="str"/>
      <x:c r="E7" s="153" t="str">
        <x:v>Login → prepare → arrive
40%</x:v>
      </x:c>
      <x:c r="F7" s="154" t="str">
        <x:v>Checklist → evidence → submit
55%</x:v>
      </x:c>
      <x:c r="G7" s="155" t="str"/>
      <x:c r="H7" s="155" t="str"/>
      <x:c r="I7" s="155" t="str"/>
    </x:row>
    <x:row r="8" ht="72" customHeight="1">
      <x:c r="A8" s="152" t="str">
        <x:v>Reviewer</x:v>
      </x:c>
      <x:c r="B8" s="155" t="str"/>
      <x:c r="C8" s="155" t="str"/>
      <x:c r="D8" s="155" t="str"/>
      <x:c r="E8" s="155" t="str"/>
      <x:c r="F8" s="155" t="str"/>
      <x:c r="G8" s="153" t="str">
        <x:v>Review → decide → rework
44%</x:v>
      </x:c>
      <x:c r="H8" s="155" t="str"/>
      <x:c r="I8" s="155" t="str"/>
    </x:row>
    <x:row r="9" ht="72" customHeight="1">
      <x:c r="A9" s="152" t="str">
        <x:v>Corrective owner</x:v>
      </x:c>
      <x:c r="B9" s="155" t="str"/>
      <x:c r="C9" s="155" t="str"/>
      <x:c r="D9" s="155" t="str"/>
      <x:c r="E9" s="155" t="str"/>
      <x:c r="F9" s="155" t="str"/>
      <x:c r="G9" s="155" t="str"/>
      <x:c r="H9" s="153" t="str">
        <x:v>Respond → close
20%</x:v>
      </x:c>
      <x:c r="I9" s="155" t="str"/>
    </x:row>
    <x:row r="10" ht="72" customHeight="1">
      <x:c r="A10" s="152" t="str">
        <x:v>System</x:v>
      </x:c>
      <x:c r="B10" s="156" t="str">
        <x:v>Identity/RLS guard</x:v>
      </x:c>
      <x:c r="C10" s="156" t="str">
        <x:v>Audit/config versions</x:v>
      </x:c>
      <x:c r="D10" s="156" t="str">
        <x:v>Atomic publish + notify</x:v>
      </x:c>
      <x:c r="E10" s="156" t="str">
        <x:v>Geo/lifecycle events</x:v>
      </x:c>
      <x:c r="F10" s="156" t="str">
        <x:v>Immutable version + notify</x:v>
      </x:c>
      <x:c r="G10" s="156" t="str">
        <x:v>Review audit + notify</x:v>
      </x:c>
      <x:c r="H10" s="156" t="str">
        <x:v>Closure invariant</x:v>
      </x:c>
      <x:c r="I10" s="153" t="str">
        <x:v>KPI + notification + Senaei
33%</x:v>
      </x:c>
    </x:row>
    <x:row r="11" ht="72" customHeight="1">
      <x:c r="A11" s="152" t="str">
        <x:v>Management</x:v>
      </x:c>
      <x:c r="B11" s="155" t="str"/>
      <x:c r="C11" s="155" t="str"/>
      <x:c r="D11" s="155" t="str"/>
      <x:c r="E11" s="155" t="str"/>
      <x:c r="F11" s="155" t="str"/>
      <x:c r="G11" s="155" t="str"/>
      <x:c r="H11" s="155" t="str"/>
      <x:c r="I11" s="153" t="str">
        <x:v>Dashboard / report
33%</x:v>
      </x:c>
    </x:row>
    <x:row r="12">
      <x:c r="A12" s="130"/>
      <x:c r="B12" s="130"/>
      <x:c r="C12" s="130"/>
      <x:c r="D12" s="130"/>
      <x:c r="E12" s="130"/>
      <x:c r="F12" s="130"/>
      <x:c r="G12" s="130"/>
      <x:c r="H12" s="130"/>
      <x:c r="I12" s="130"/>
    </x:row>
    <x:row r="13">
      <x:c r="A13" s="150" t="str">
        <x:v>RED = blocks training completion · AMBER = partially wired · GREY = static/unverified · Hover/comment markers contain field + CRUD + fix detail</x:v>
      </x:c>
      <x:c r="B13" s="150"/>
      <x:c r="C13" s="150"/>
      <x:c r="D13" s="150"/>
      <x:c r="E13" s="150"/>
      <x:c r="F13" s="150"/>
      <x:c r="G13" s="150"/>
      <x:c r="H13" s="150"/>
      <x:c r="I13" s="150"/>
    </x:row>
  </x:sheetData>
  <x:mergeCells>
    <x:mergeCell ref="A1:I1"/>
    <x:mergeCell ref="A2:I2"/>
    <x:mergeCell ref="A13:I13"/>
  </x:mergeCells>
  <x:pageMargins left="0.7" right="0.7" top="0.75" bottom="0.75" header="0.3" footer="0.3"/>
  <x:legacyDrawing xmlns:r="http://schemas.openxmlformats.org/officeDocument/2006/relationships" r:id="Rea7f34eaa76d4355"/>
</x:worksheet>
</file>

<file path=xl/worksheets/sheet27.xml><?xml version="1.0" encoding="utf-8"?>
<x:worksheet xmlns:x="http://schemas.openxmlformats.org/spreadsheetml/2006/main">
  <x:sheetViews>
    <x:sheetView showGridLines="0" workbookViewId="0"/>
  </x:sheetViews>
  <x:sheetFormatPr defaultRowHeight="15"/>
  <x:cols>
    <x:col min="1" max="1" width="25" hidden="0" customWidth="1"/>
    <x:col min="2" max="2" width="25" hidden="0" customWidth="1"/>
    <x:col min="3" max="3" width="25" hidden="0" customWidth="1"/>
    <x:col min="4" max="4" width="3"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ht="34" customHeight="1">
      <x:c r="A1" s="39" t="str">
        <x:v>INSPECTION JOURNEY COMMAND CENTER</x:v>
      </x:c>
      <x:c r="B1" s="39"/>
      <x:c r="C1" s="39"/>
      <x:c r="D1" s="39"/>
      <x:c r="E1" s="39"/>
      <x:c r="F1" s="39"/>
      <x:c r="G1" s="39"/>
      <x:c r="H1" s="39"/>
      <x:c r="I1" s="39"/>
      <x:c r="J1" s="39"/>
      <x:c r="K1" s="39"/>
      <x:c r="L1" s="39"/>
      <x:c r="M1" s="130"/>
      <x:c r="N1" s="130"/>
      <x:c r="O1" s="130"/>
    </x:row>
    <x:row r="2" ht="34" customHeight="1">
      <x:c r="A2" s="42" t="str">
        <x:v>Training-first view: follow the golden thread, see block completion, open fix prompts, and answer only the rules that need Product Owner authority.</x:v>
      </x:c>
      <x:c r="B2" s="42"/>
      <x:c r="C2" s="42"/>
      <x:c r="D2" s="42"/>
      <x:c r="E2" s="42"/>
      <x:c r="F2" s="42"/>
      <x:c r="G2" s="42"/>
      <x:c r="H2" s="42"/>
      <x:c r="I2" s="42"/>
      <x:c r="J2" s="42"/>
      <x:c r="K2" s="42"/>
      <x:c r="L2" s="42"/>
      <x:c r="M2" s="130"/>
      <x:c r="N2" s="130"/>
      <x:c r="O2" s="130"/>
    </x:row>
    <x:row r="3" ht="34" customHeight="1">
      <x:c r="A3" s="130"/>
      <x:c r="B3" s="130"/>
      <x:c r="C3" s="130"/>
      <x:c r="D3" s="130"/>
      <x:c r="E3" s="130"/>
      <x:c r="F3" s="130"/>
      <x:c r="G3" s="130"/>
      <x:c r="H3" s="130"/>
      <x:c r="I3" s="130"/>
      <x:c r="J3" s="130"/>
      <x:c r="K3" s="130"/>
      <x:c r="L3" s="130"/>
      <x:c r="M3" s="130"/>
      <x:c r="N3" s="130" t="str">
        <x:v>Block</x:v>
      </x:c>
      <x:c r="O3" s="130" t="str">
        <x:v>Completion</x:v>
      </x:c>
    </x:row>
    <x:row r="4" ht="34" customHeight="1">
      <x:c r="A4" s="131" t="str">
        <x:v>INSPECTOR END-TO-END VERDICT</x:v>
      </x:c>
      <x:c r="B4" s="131"/>
      <x:c r="C4" s="131"/>
      <x:c r="D4" s="130"/>
      <x:c r="E4" s="132" t="str">
        <x:v>Identity &amp; access</x:v>
      </x:c>
      <x:c r="F4" s="132" t="str">
        <x:v>Admin configuration</x:v>
      </x:c>
      <x:c r="G4" s="132" t="str">
        <x:v>Plan &amp; publish visit</x:v>
      </x:c>
      <x:c r="H4" s="132" t="str">
        <x:v>Prepare, travel &amp; arrive</x:v>
      </x:c>
      <x:c r="I4" s="132" t="str">
        <x:v>Execute &amp; submit</x:v>
      </x:c>
      <x:c r="J4" s="132" t="str">
        <x:v>Review &amp; rework</x:v>
      </x:c>
      <x:c r="K4" s="132" t="str">
        <x:v>Corrective action &amp; closure</x:v>
      </x:c>
      <x:c r="L4" s="132" t="str">
        <x:v>Reporting, notifications &amp; external sync</x:v>
      </x:c>
      <x:c r="M4" s="130"/>
      <x:c r="N4" s="130" t="str">
        <x:v>Identity &amp; access</x:v>
      </x:c>
      <x:c r="O4" s="133" t="n">
        <x:v>0.3</x:v>
      </x:c>
    </x:row>
    <x:row r="5" ht="38" customHeight="1">
      <x:c r="A5" s="134" t="str">
        <x:v>NO — core journey cannot yet be trained or certified end to end</x:v>
      </x:c>
      <x:c r="B5" s="135"/>
      <x:c r="C5" s="136"/>
      <x:c r="D5" s="130"/>
      <x:c r="E5" s="137" t="n">
        <x:v>3</x:v>
      </x:c>
      <x:c r="F5" s="137" t="n">
        <x:v>5</x:v>
      </x:c>
      <x:c r="G5" s="137" t="n">
        <x:v>6</x:v>
      </x:c>
      <x:c r="H5" s="137" t="n">
        <x:v>4</x:v>
      </x:c>
      <x:c r="I5" s="137" t="n">
        <x:v>6</x:v>
      </x:c>
      <x:c r="J5" s="137" t="n">
        <x:v>4</x:v>
      </x:c>
      <x:c r="K5" s="137" t="n">
        <x:v>2</x:v>
      </x:c>
      <x:c r="L5" s="137" t="n">
        <x:v>4</x:v>
      </x:c>
      <x:c r="M5" s="130"/>
      <x:c r="N5" s="130" t="str">
        <x:v>Admin configuration</x:v>
      </x:c>
      <x:c r="O5" s="133" t="n">
        <x:v>0.45454545454545453</x:v>
      </x:c>
    </x:row>
    <x:row r="6" ht="38" customHeight="1">
      <x:c r="A6" s="138"/>
      <x:c r="B6" s="139"/>
      <x:c r="C6" s="140"/>
      <x:c r="D6" s="130"/>
      <x:c r="E6" s="137" t="n">
        <x:v>10</x:v>
      </x:c>
      <x:c r="F6" s="137" t="n">
        <x:v>11</x:v>
      </x:c>
      <x:c r="G6" s="137" t="n">
        <x:v>11</x:v>
      </x:c>
      <x:c r="H6" s="137" t="n">
        <x:v>10</x:v>
      </x:c>
      <x:c r="I6" s="137" t="n">
        <x:v>11</x:v>
      </x:c>
      <x:c r="J6" s="137" t="n">
        <x:v>9</x:v>
      </x:c>
      <x:c r="K6" s="137" t="n">
        <x:v>10</x:v>
      </x:c>
      <x:c r="L6" s="137" t="n">
        <x:v>12</x:v>
      </x:c>
      <x:c r="M6" s="130"/>
      <x:c r="N6" s="130" t="str">
        <x:v>Plan &amp; publish visit</x:v>
      </x:c>
      <x:c r="O6" s="133" t="n">
        <x:v>0.5454545454545454</x:v>
      </x:c>
    </x:row>
    <x:row r="7" ht="38" customHeight="1">
      <x:c r="A7" s="141"/>
      <x:c r="B7" s="142"/>
      <x:c r="C7" s="143"/>
      <x:c r="D7" s="130"/>
      <x:c r="E7" s="144" t="n">
        <x:f>IF(E6=0,0,E5/E6)</x:f>
        <x:v>0.3</x:v>
      </x:c>
      <x:c r="F7" s="144" t="n">
        <x:f>IF(F6=0,0,F5/F6)</x:f>
        <x:v>0.45454545454545453</x:v>
      </x:c>
      <x:c r="G7" s="144" t="n">
        <x:f>IF(G6=0,0,G5/G6)</x:f>
        <x:v>0.5454545454545454</x:v>
      </x:c>
      <x:c r="H7" s="144" t="n">
        <x:f>IF(H6=0,0,H5/H6)</x:f>
        <x:v>0.4</x:v>
      </x:c>
      <x:c r="I7" s="144" t="n">
        <x:f>IF(I6=0,0,I5/I6)</x:f>
        <x:v>0.5454545454545454</x:v>
      </x:c>
      <x:c r="J7" s="144" t="n">
        <x:f>IF(J6=0,0,J5/J6)</x:f>
        <x:v>0.4444444444444444</x:v>
      </x:c>
      <x:c r="K7" s="144" t="n">
        <x:f>IF(K6=0,0,K5/K6)</x:f>
        <x:v>0.2</x:v>
      </x:c>
      <x:c r="L7" s="144" t="n">
        <x:f>IF(L6=0,0,L5/L6)</x:f>
        <x:v>0.3333333333333333</x:v>
      </x:c>
      <x:c r="M7" s="130"/>
      <x:c r="N7" s="130" t="str">
        <x:v>Prepare, travel &amp; arrive</x:v>
      </x:c>
      <x:c r="O7" s="133" t="n">
        <x:v>0.4</x:v>
      </x:c>
    </x:row>
    <x:row r="8" ht="34" customHeight="1">
      <x:c r="A8" s="130"/>
      <x:c r="B8" s="130"/>
      <x:c r="C8" s="130"/>
      <x:c r="D8" s="130"/>
      <x:c r="E8" s="130"/>
      <x:c r="F8" s="130"/>
      <x:c r="G8" s="130"/>
      <x:c r="H8" s="130"/>
      <x:c r="I8" s="130"/>
      <x:c r="J8" s="130"/>
      <x:c r="K8" s="130"/>
      <x:c r="L8" s="130"/>
      <x:c r="M8" s="130"/>
      <x:c r="N8" s="130" t="str">
        <x:v>Execute &amp; submit</x:v>
      </x:c>
      <x:c r="O8" s="133" t="n">
        <x:v>0.5454545454545454</x:v>
      </x:c>
    </x:row>
    <x:row r="9" ht="34" customHeight="1">
      <x:c r="A9" s="130"/>
      <x:c r="B9" s="130"/>
      <x:c r="C9" s="130"/>
      <x:c r="D9" s="130"/>
      <x:c r="E9" s="130"/>
      <x:c r="F9" s="130"/>
      <x:c r="G9" s="130"/>
      <x:c r="H9" s="130"/>
      <x:c r="I9" s="130"/>
      <x:c r="J9" s="130"/>
      <x:c r="K9" s="130"/>
      <x:c r="L9" s="130"/>
      <x:c r="M9" s="130"/>
      <x:c r="N9" s="130" t="str">
        <x:v>Review &amp; rework</x:v>
      </x:c>
      <x:c r="O9" s="133" t="n">
        <x:v>0.4444444444444444</x:v>
      </x:c>
    </x:row>
    <x:row r="10" ht="34" customHeight="1">
      <x:c r="A10" s="145" t="str">
        <x:v>ENTERPRISE NAVIGATION</x:v>
      </x:c>
      <x:c r="B10" s="145"/>
      <x:c r="C10" s="145"/>
      <x:c r="D10" s="145"/>
      <x:c r="E10" s="146" t="str">
        <x:v>WHAT NEEDS VIKRAM'S ASSISTANCE NOW</x:v>
      </x:c>
      <x:c r="F10" s="146"/>
      <x:c r="G10" s="146"/>
      <x:c r="H10" s="146"/>
      <x:c r="I10" s="146"/>
      <x:c r="J10" s="146"/>
      <x:c r="K10" s="146"/>
      <x:c r="L10" s="146"/>
      <x:c r="M10" s="130"/>
      <x:c r="N10" s="130" t="str">
        <x:v>Corrective action &amp; closure</x:v>
      </x:c>
      <x:c r="O10" s="133" t="n">
        <x:v>0.2</x:v>
      </x:c>
    </x:row>
    <x:row r="11" ht="34" customHeight="1">
      <x:c r="A11" s="130"/>
      <x:c r="B11" s="130"/>
      <x:c r="C11" s="130"/>
      <x:c r="D11" s="130"/>
      <x:c r="E11" s="130"/>
      <x:c r="F11" s="130"/>
      <x:c r="G11" s="130"/>
      <x:c r="H11" s="130"/>
      <x:c r="I11" s="130"/>
      <x:c r="J11" s="130"/>
      <x:c r="K11" s="130"/>
      <x:c r="L11" s="130"/>
      <x:c r="M11" s="130"/>
      <x:c r="N11" s="130" t="str">
        <x:v>Reporting, notifications &amp; external sync</x:v>
      </x:c>
      <x:c r="O11" s="133" t="n">
        <x:v>0.3333333333333333</x:v>
      </x:c>
    </x:row>
    <x:row r="12" ht="34" customHeight="1">
      <x:c r="A12" s="147" t="str">
        <x:v>1. GOLDEN CANVAS</x:v>
      </x:c>
      <x:c r="B12" s="148" t="str">
        <x:v>Swimlanes + hover detail</x:v>
      </x:c>
      <x:c r="C12" s="148" t="str">
        <x:f>'01_GOLDEN_CANVAS'!A1</x:f>
        <x:v>GOLDEN THREAD — ENTERPRISE TRAINING CANVAS</x:v>
      </x:c>
      <x:c r="D12" s="130"/>
      <x:c r="E12" s="149" t="str">
        <x:v>1 · Approve disposable persona environment and credential custody</x:v>
      </x:c>
      <x:c r="F12" s="149"/>
      <x:c r="G12" s="149"/>
      <x:c r="H12" s="149"/>
      <x:c r="I12" s="149"/>
      <x:c r="J12" s="149"/>
      <x:c r="K12" s="149"/>
      <x:c r="L12" s="149"/>
      <x:c r="M12" s="130"/>
      <x:c r="N12" s="130"/>
      <x:c r="O12" s="130"/>
    </x:row>
    <x:row r="13" ht="34" customHeight="1">
      <x:c r="A13" s="147" t="str">
        <x:v>2. TRAINING STEPS</x:v>
      </x:c>
      <x:c r="B13" s="148" t="str">
        <x:v>Fields, CRUD, state and recovery</x:v>
      </x:c>
      <x:c r="C13" s="148" t="str">
        <x:f>'02_TRAINING_STEPS'!A1</x:f>
        <x:v>TRAINING RUNBOOK — ONE VISIT END TO END</x:v>
      </x:c>
      <x:c r="D13" s="130"/>
      <x:c r="E13" s="149" t="str">
        <x:v>2 · Confirm role separation and supported inspector execution surface</x:v>
      </x:c>
      <x:c r="F13" s="149"/>
      <x:c r="G13" s="149"/>
      <x:c r="H13" s="149"/>
      <x:c r="I13" s="149"/>
      <x:c r="J13" s="149"/>
      <x:c r="K13" s="149"/>
      <x:c r="L13" s="149"/>
      <x:c r="M13" s="130"/>
      <x:c r="N13" s="130"/>
      <x:c r="O13" s="130"/>
    </x:row>
    <x:row r="14" ht="34" customHeight="1">
      <x:c r="A14" s="147" t="str">
        <x:v>3. DATA WIRING</x:v>
      </x:c>
      <x:c r="B14" s="148" t="str">
        <x:v>UI → service → database → break</x:v>
      </x:c>
      <x:c r="C14" s="148" t="str">
        <x:f>'03_DATA_WIRING'!A1</x:f>
        <x:v>DATA + WIRING CONTROL MAP</x:v>
      </x:c>
      <x:c r="D14" s="130"/>
      <x:c r="E14" s="149" t="str">
        <x:v>3 · Approve zero-package and unconfigured-geofence behaviors</x:v>
      </x:c>
      <x:c r="F14" s="149"/>
      <x:c r="G14" s="149"/>
      <x:c r="H14" s="149"/>
      <x:c r="I14" s="149"/>
      <x:c r="J14" s="149"/>
      <x:c r="K14" s="149"/>
      <x:c r="L14" s="149"/>
      <x:c r="M14" s="130"/>
      <x:c r="N14" s="130"/>
      <x:c r="O14" s="130"/>
    </x:row>
    <x:row r="15" ht="34" customHeight="1">
      <x:c r="A15" s="147" t="str">
        <x:v>4. FIX PROMPTS</x:v>
      </x:c>
      <x:c r="B15" s="148" t="str">
        <x:v>Copy-ready remediation prompts</x:v>
      </x:c>
      <x:c r="C15" s="148" t="str">
        <x:f>'04_FIX_PROMPTS'!A1</x:f>
        <x:v>FIX PROMPT CENTER</x:v>
      </x:c>
      <x:c r="D15" s="130"/>
      <x:c r="E15" s="149" t="str">
        <x:v>4 · Approve quarantine treatment for invalid approved inspection</x:v>
      </x:c>
      <x:c r="F15" s="149"/>
      <x:c r="G15" s="149"/>
      <x:c r="H15" s="149"/>
      <x:c r="I15" s="149"/>
      <x:c r="J15" s="149"/>
      <x:c r="K15" s="149"/>
      <x:c r="L15" s="149"/>
      <x:c r="M15" s="130"/>
      <x:c r="N15" s="130"/>
      <x:c r="O15" s="130"/>
    </x:row>
    <x:row r="16" ht="34" customHeight="1">
      <x:c r="A16" s="147" t="str">
        <x:v>5. RULES DECISIONS</x:v>
      </x:c>
      <x:c r="B16" s="148" t="str">
        <x:v>Your decisions + recommended answers</x:v>
      </x:c>
      <x:c r="C16" s="148" t="str">
        <x:f>'05_RULES_DECISIONS'!A1</x:f>
        <x:v>RULES DECISION CENTER</x:v>
      </x:c>
      <x:c r="D16" s="130"/>
      <x:c r="E16" s="149" t="str">
        <x:v>5 · Define corrective owner types and legal closure invariant</x:v>
      </x:c>
      <x:c r="F16" s="149"/>
      <x:c r="G16" s="149"/>
      <x:c r="H16" s="149"/>
      <x:c r="I16" s="149"/>
      <x:c r="J16" s="149"/>
      <x:c r="K16" s="149"/>
      <x:c r="L16" s="149"/>
      <x:c r="M16" s="130"/>
      <x:c r="N16" s="130"/>
      <x:c r="O16" s="130"/>
    </x:row>
    <x:row r="17" ht="34" customHeight="1">
      <x:c r="A17" s="147" t="str">
        <x:v>6. FORENSIC APPENDIX</x:v>
      </x:c>
      <x:c r="B17" s="148" t="str">
        <x:v>Original evidence and trace tables</x:v>
      </x:c>
      <x:c r="C17" s="148" t="str">
        <x:f>'11_BREAKPOINT_REGISTER'!A1</x:f>
        <x:v>11 BREAKPOINT REGISTER</x:v>
      </x:c>
      <x:c r="D17" s="130"/>
      <x:c r="E17" s="149" t="str">
        <x:v>6 · Approve Senaei trigger, KPI RACI and mandatory notification events</x:v>
      </x:c>
      <x:c r="F17" s="149"/>
      <x:c r="G17" s="149"/>
      <x:c r="H17" s="149"/>
      <x:c r="I17" s="149"/>
      <x:c r="J17" s="149"/>
      <x:c r="K17" s="149"/>
      <x:c r="L17" s="149"/>
      <x:c r="M17" s="130"/>
      <x:c r="N17" s="130"/>
      <x:c r="O17" s="130"/>
    </x:row>
    <x:row r="18" ht="34" customHeight="1">
      <x:c r="A18" s="130"/>
      <x:c r="B18" s="130"/>
      <x:c r="C18" s="130"/>
      <x:c r="D18" s="130"/>
      <x:c r="E18" s="130"/>
      <x:c r="F18" s="130"/>
      <x:c r="G18" s="130"/>
      <x:c r="H18" s="130"/>
      <x:c r="I18" s="130"/>
      <x:c r="J18" s="130"/>
      <x:c r="K18" s="130"/>
      <x:c r="L18" s="130"/>
      <x:c r="M18" s="130"/>
      <x:c r="N18" s="130"/>
      <x:c r="O18" s="130"/>
    </x:row>
    <x:row r="19" ht="34" customHeight="1">
      <x:c r="A19" s="130"/>
      <x:c r="B19" s="130"/>
      <x:c r="C19" s="130"/>
      <x:c r="D19" s="130"/>
      <x:c r="E19" s="130"/>
      <x:c r="F19" s="130"/>
      <x:c r="G19" s="130"/>
      <x:c r="H19" s="130"/>
      <x:c r="I19" s="130"/>
      <x:c r="J19" s="130"/>
      <x:c r="K19" s="130"/>
      <x:c r="L19" s="130"/>
      <x:c r="M19" s="130"/>
      <x:c r="N19" s="130"/>
      <x:c r="O19" s="130"/>
    </x:row>
    <x:row r="20" ht="34" customHeight="1">
      <x:c r="A20" s="150" t="str">
        <x:v>Completion is checkpoint-based, not opinion: verified mandatory checkpoints ÷ applicable checkpoints. Hover/comment markers appear on the Golden Canvas.</x:v>
      </x:c>
      <x:c r="B20" s="150"/>
      <x:c r="C20" s="150"/>
      <x:c r="D20" s="150"/>
      <x:c r="E20" s="150"/>
      <x:c r="F20" s="150"/>
      <x:c r="G20" s="150"/>
      <x:c r="H20" s="150"/>
      <x:c r="I20" s="150"/>
      <x:c r="J20" s="150"/>
      <x:c r="K20" s="150"/>
      <x:c r="L20" s="150"/>
      <x:c r="M20" s="130"/>
      <x:c r="N20" s="130"/>
      <x:c r="O20" s="130"/>
    </x:row>
  </x:sheetData>
  <x:mergeCells>
    <x:mergeCell ref="A1:L1"/>
    <x:mergeCell ref="A2:L2"/>
    <x:mergeCell ref="A4:C4"/>
    <x:mergeCell ref="A5:C7"/>
    <x:mergeCell ref="A10:L10"/>
    <x:mergeCell ref="E10:L10"/>
    <x:mergeCell ref="E12:L12"/>
    <x:mergeCell ref="E13:L13"/>
    <x:mergeCell ref="E14:L14"/>
    <x:mergeCell ref="E15:L15"/>
    <x:mergeCell ref="E16:L16"/>
    <x:mergeCell ref="E17:L17"/>
    <x:mergeCell ref="A20:L20"/>
  </x:mergeCells>
  <x:conditionalFormatting sqref="E7:L7">
    <x:cfRule type="colorScale" priority="1">
      <x:colorScale>
        <x:cfvo type="min"/>
        <x:cfvo type="percentile" val="50"/>
        <x:cfvo type="max"/>
        <x:color rgb="FFF8D7DA"/>
        <x:color rgb="FFFFF0C2"/>
        <x:color rgb="FFDDEFE5"/>
      </x:colorScale>
    </x:cfRule>
  </x:conditionalFormatting>
  <x:pageMargins left="0.7" right="0.7" top="0.75" bottom="0.75" header="0.3" footer="0.3"/>
  <x:drawing xmlns:r="http://schemas.openxmlformats.org/officeDocument/2006/relationships" r:id="R7225b21e2fe648f2"/>
</x:worksheet>
</file>